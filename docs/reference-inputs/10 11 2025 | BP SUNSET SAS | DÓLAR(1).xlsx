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/Users/abdochamseddine/Library/Mobile Documents/com~apple~CloudDocs/SUNSET TIRES CORPORATION SAS/OPERACIONES/2025/FINANCEIRO/11:2025/BP/"/>
    </mc:Choice>
  </mc:AlternateContent>
  <xr:revisionPtr revIDLastSave="0" documentId="13_ncr:1_{95C34282-2997-3F4B-A226-2BCE59DBF9B4}" xr6:coauthVersionLast="47" xr6:coauthVersionMax="47" xr10:uidLastSave="{00000000-0000-0000-0000-000000000000}"/>
  <bookViews>
    <workbookView xWindow="0" yWindow="620" windowWidth="38400" windowHeight="21000" tabRatio="350" xr2:uid="{00000000-000D-0000-FFFF-FFFF00000000}"/>
  </bookViews>
  <sheets>
    <sheet name="BP Abdo Argentina DÓLARES" sheetId="21" r:id="rId1"/>
  </sheets>
  <definedNames>
    <definedName name="_xlnm.Print_Area" localSheetId="0">'BP Abdo Argentina DÓLARES'!#REF!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21" l="1"/>
  <c r="H30" i="21"/>
  <c r="K5" i="21"/>
  <c r="K8" i="21"/>
  <c r="M104" i="21"/>
  <c r="N104" i="21"/>
  <c r="O104" i="21"/>
  <c r="P104" i="21"/>
  <c r="M103" i="21"/>
  <c r="N103" i="21"/>
  <c r="O103" i="21"/>
  <c r="P103" i="21"/>
  <c r="K104" i="21"/>
  <c r="K103" i="21"/>
  <c r="L100" i="21"/>
  <c r="L104" i="21" s="1"/>
  <c r="K100" i="21"/>
  <c r="I5" i="21"/>
  <c r="Q112" i="21"/>
  <c r="I93" i="21"/>
  <c r="P95" i="21"/>
  <c r="Q109" i="21"/>
  <c r="J6" i="21"/>
  <c r="L103" i="21" l="1"/>
  <c r="Q100" i="21"/>
  <c r="P6" i="21"/>
  <c r="P4" i="21"/>
  <c r="H4" i="21" s="1"/>
  <c r="P5" i="21"/>
  <c r="I92" i="21" l="1"/>
  <c r="H101" i="21" s="1"/>
  <c r="I24" i="21"/>
  <c r="P30" i="21"/>
  <c r="P81" i="21" l="1"/>
  <c r="H81" i="21" s="1"/>
  <c r="P82" i="21"/>
  <c r="H82" i="21" s="1"/>
  <c r="P33" i="21"/>
  <c r="P34" i="21"/>
  <c r="P35" i="21"/>
  <c r="P80" i="21"/>
  <c r="H80" i="21" s="1"/>
  <c r="P48" i="21" l="1"/>
  <c r="P49" i="21" l="1"/>
  <c r="P36" i="21" l="1"/>
  <c r="P83" i="21"/>
  <c r="P44" i="21" l="1"/>
  <c r="P32" i="21" l="1"/>
  <c r="H32" i="21" s="1"/>
  <c r="P79" i="21" l="1"/>
  <c r="H79" i="21" s="1"/>
  <c r="P43" i="21" l="1"/>
  <c r="P93" i="21" l="1"/>
  <c r="P97" i="21"/>
  <c r="P31" i="21" l="1"/>
  <c r="H31" i="21" s="1"/>
  <c r="P26" i="21" l="1"/>
  <c r="P27" i="21"/>
  <c r="H27" i="21" s="1"/>
  <c r="P28" i="21"/>
  <c r="H28" i="21" s="1"/>
  <c r="P29" i="21"/>
  <c r="H29" i="21" s="1"/>
  <c r="H26" i="21" l="1"/>
  <c r="P42" i="21"/>
  <c r="I2" i="21" l="1"/>
  <c r="P8" i="21"/>
  <c r="H8" i="21" s="1"/>
  <c r="Q8" i="21" l="1"/>
  <c r="P50" i="21" l="1"/>
  <c r="P41" i="21" l="1"/>
  <c r="P15" i="21" l="1"/>
  <c r="H15" i="21" s="1"/>
  <c r="P39" i="21" l="1"/>
  <c r="P38" i="21" l="1"/>
  <c r="Q37" i="21" s="1"/>
  <c r="H76" i="21" l="1"/>
  <c r="Q101" i="21"/>
  <c r="Q106" i="21" l="1"/>
  <c r="Q108" i="21" s="1"/>
  <c r="Q105" i="21"/>
  <c r="Q104" i="21"/>
  <c r="Q103" i="21"/>
  <c r="Q102" i="21"/>
  <c r="F102" i="21"/>
  <c r="F104" i="21" s="1"/>
  <c r="F101" i="21"/>
  <c r="P89" i="21"/>
  <c r="Q88" i="21" s="1"/>
  <c r="P87" i="21"/>
  <c r="P86" i="21"/>
  <c r="P85" i="21"/>
  <c r="P84" i="21"/>
  <c r="P78" i="21"/>
  <c r="P77" i="21"/>
  <c r="P76" i="21"/>
  <c r="P75" i="21"/>
  <c r="P74" i="21"/>
  <c r="P72" i="21"/>
  <c r="P71" i="21"/>
  <c r="P70" i="21"/>
  <c r="P69" i="21"/>
  <c r="P68" i="21"/>
  <c r="P66" i="21"/>
  <c r="P63" i="21"/>
  <c r="P62" i="21"/>
  <c r="P61" i="21"/>
  <c r="P60" i="21"/>
  <c r="P58" i="21"/>
  <c r="I58" i="21"/>
  <c r="P54" i="21"/>
  <c r="P53" i="21"/>
  <c r="P25" i="21"/>
  <c r="P24" i="21" s="1"/>
  <c r="P23" i="21"/>
  <c r="P22" i="21"/>
  <c r="P21" i="21"/>
  <c r="H21" i="21" s="1"/>
  <c r="P19" i="21"/>
  <c r="P18" i="21"/>
  <c r="H18" i="21" s="1"/>
  <c r="P14" i="21"/>
  <c r="P12" i="21"/>
  <c r="P11" i="21"/>
  <c r="H11" i="21" s="1"/>
  <c r="P10" i="21"/>
  <c r="H10" i="21" s="1"/>
  <c r="Q4" i="21"/>
  <c r="Q76" i="21" l="1"/>
  <c r="Q2" i="21"/>
  <c r="H14" i="21"/>
  <c r="Q13" i="21"/>
  <c r="Q5" i="21"/>
  <c r="Q73" i="21"/>
  <c r="Q52" i="21"/>
  <c r="Q111" i="21"/>
  <c r="Q189" i="21" s="1"/>
  <c r="P96" i="21" s="1"/>
  <c r="Q17" i="21"/>
  <c r="Q85" i="21"/>
  <c r="H24" i="21"/>
  <c r="Q9" i="21"/>
  <c r="P47" i="21"/>
  <c r="Q46" i="21" s="1"/>
  <c r="Q84" i="21"/>
  <c r="Q59" i="21"/>
  <c r="Q87" i="21"/>
  <c r="Q20" i="21" l="1"/>
  <c r="Q56" i="21" s="1"/>
  <c r="Q90" i="21"/>
  <c r="I94" i="21"/>
  <c r="P94" i="21"/>
  <c r="Q92" i="21" s="1"/>
  <c r="Q98" i="21" l="1"/>
  <c r="Q190" i="21" s="1"/>
  <c r="H102" i="21"/>
  <c r="H104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solpneus</author>
    <author>Arif</author>
    <author>Usuário do Windows</author>
  </authors>
  <commentList>
    <comment ref="L18" authorId="0" shapeId="0" xr:uid="{00000000-0006-0000-0000-000001000000}">
      <text>
        <r>
          <rPr>
            <b/>
            <sz val="9"/>
            <color indexed="81"/>
            <rFont val="Segoe UI"/>
            <charset val="1"/>
          </rPr>
          <t>solpneus:</t>
        </r>
        <r>
          <rPr>
            <sz val="9"/>
            <color indexed="81"/>
            <rFont val="Segoe UI"/>
            <charset val="1"/>
          </rPr>
          <t xml:space="preserve">
BAIXA DE DEVOLUÇÃO</t>
        </r>
      </text>
    </comment>
    <comment ref="O21" authorId="1" shapeId="0" xr:uid="{00000000-0006-0000-0000-000002000000}">
      <text>
        <r>
          <rPr>
            <b/>
            <sz val="9"/>
            <color rgb="FF000000"/>
            <rFont val="Segoe UI"/>
            <family val="2"/>
            <charset val="1"/>
          </rPr>
          <t>NABIL 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custo venda periodo
</t>
        </r>
      </text>
    </comment>
    <comment ref="D95" authorId="2" shapeId="0" xr:uid="{00000000-0006-0000-0000-000003000000}">
      <text>
        <r>
          <rPr>
            <b/>
            <sz val="9"/>
            <color rgb="FF000000"/>
            <rFont val="Segoe UI"/>
            <family val="2"/>
            <charset val="1"/>
          </rPr>
          <t>Usuário do Windows: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dif bp 30/04/22 +200,55
</t>
        </r>
        <r>
          <rPr>
            <sz val="9"/>
            <color rgb="FF000000"/>
            <rFont val="Segoe UI"/>
            <family val="2"/>
            <charset val="1"/>
          </rPr>
          <t xml:space="preserve">dif inv 30/09/22, -754,94
</t>
        </r>
        <r>
          <rPr>
            <sz val="9"/>
            <color rgb="FF000000"/>
            <rFont val="Segoe UI"/>
            <family val="2"/>
            <charset val="1"/>
          </rPr>
          <t>dif inv 25/10/22, +136</t>
        </r>
      </text>
    </comment>
    <comment ref="Q170" authorId="0" shapeId="0" xr:uid="{00000000-0006-0000-0000-000004000000}">
      <text>
        <r>
          <rPr>
            <b/>
            <sz val="9"/>
            <color rgb="FF000000"/>
            <rFont val="Segoe UI"/>
            <charset val="1"/>
          </rPr>
          <t>solpneus:</t>
        </r>
        <r>
          <rPr>
            <sz val="9"/>
            <color rgb="FF000000"/>
            <rFont val="Segoe UI"/>
            <charset val="1"/>
          </rPr>
          <t xml:space="preserve">
</t>
        </r>
        <r>
          <rPr>
            <sz val="9"/>
            <color rgb="FF000000"/>
            <rFont val="Segoe UI"/>
            <charset val="1"/>
          </rPr>
          <t>PROVISAO DE ICMS ST QUE VAMOS PAGAR SÓ EM 20/06</t>
        </r>
      </text>
    </comment>
  </commentList>
</comments>
</file>

<file path=xl/sharedStrings.xml><?xml version="1.0" encoding="utf-8"?>
<sst xmlns="http://schemas.openxmlformats.org/spreadsheetml/2006/main" count="189" uniqueCount="171">
  <si>
    <t>CIRCULANTE</t>
  </si>
  <si>
    <t>CUENTA</t>
  </si>
  <si>
    <t>SALDO</t>
  </si>
  <si>
    <t>PATRIMONIO LÍQUIDO</t>
  </si>
  <si>
    <t>SALDO CREDOR</t>
  </si>
  <si>
    <t>INV</t>
  </si>
  <si>
    <t>DIS</t>
  </si>
  <si>
    <t>RMP</t>
  </si>
  <si>
    <t>CIR</t>
  </si>
  <si>
    <t>ELP</t>
  </si>
  <si>
    <t>PL</t>
  </si>
  <si>
    <t>GASTOS</t>
  </si>
  <si>
    <t>PERMANENTE - IMOBILZADO</t>
  </si>
  <si>
    <t>CMV (-)</t>
  </si>
  <si>
    <t>RCP</t>
  </si>
  <si>
    <t>▲</t>
  </si>
  <si>
    <t>BANCOS (-)</t>
  </si>
  <si>
    <t xml:space="preserve">TOTAL ATIVO </t>
  </si>
  <si>
    <t>STOCK</t>
  </si>
  <si>
    <t xml:space="preserve">Gastos DRE </t>
  </si>
  <si>
    <t>TOTAL PASIVO</t>
  </si>
  <si>
    <t>RMA (+)</t>
  </si>
  <si>
    <t xml:space="preserve">RESULTADO LÍQUIDO </t>
  </si>
  <si>
    <t>RESULTADO BRUTO</t>
  </si>
  <si>
    <t>Reservas de Resultados Acumulados</t>
  </si>
  <si>
    <t>BANCOS</t>
  </si>
  <si>
    <t>Capital Social</t>
  </si>
  <si>
    <t>DISPONIBILIDADE</t>
  </si>
  <si>
    <t>REALIZAVEL A CURTO PRAZO</t>
  </si>
  <si>
    <t>EXIGIVEL A CURTO PRAZO</t>
  </si>
  <si>
    <t>REALIZAVEL A MEDIO PRAZO</t>
  </si>
  <si>
    <t>EXIGIVEL A LONGO PRAZO</t>
  </si>
  <si>
    <t>conferencia do resultado no periodo</t>
  </si>
  <si>
    <t>Soma PL anterior</t>
  </si>
  <si>
    <t>Soma PL atual</t>
  </si>
  <si>
    <t>TESOURARIA</t>
  </si>
  <si>
    <t>Devoluções  (-)</t>
  </si>
  <si>
    <t>Venda a vista</t>
  </si>
  <si>
    <t>Venda a Crédito</t>
  </si>
  <si>
    <t>INGRESSOS BRUTOS</t>
  </si>
  <si>
    <t>INGRESSOS NETOS</t>
  </si>
  <si>
    <t>Conferindo o D.R.E.</t>
  </si>
  <si>
    <t>INVENTARIO</t>
  </si>
  <si>
    <t>REALIZAVELA MEDIO PRAZO</t>
  </si>
  <si>
    <t>ADIANTAMENTO A PROVEDORES LOCAIS</t>
  </si>
  <si>
    <t>PROVEDORES LOCAIS</t>
  </si>
  <si>
    <t>PROVEDORES DO EXTERIOR</t>
  </si>
  <si>
    <t>OBRIGAÇÕES + ORIGENS + PATRIMONIO LÍQUIDO</t>
  </si>
  <si>
    <t>Obs: este valor deve ser igual a  estrutura de resultados = DRE</t>
  </si>
  <si>
    <t>SUNSET TIRES</t>
  </si>
  <si>
    <t>1x40HC</t>
  </si>
  <si>
    <t>BP DÓLARES</t>
  </si>
  <si>
    <t>VARIAÇÃO CAMBIAL (+)(-)</t>
  </si>
  <si>
    <t>RENDIMENTO APLICAÇÃO</t>
  </si>
  <si>
    <t>FRETE - CLIENTE</t>
  </si>
  <si>
    <t>CRÉDITO AMBIENTAL</t>
  </si>
  <si>
    <t>Reservas de Resultados Acumulados 2021</t>
  </si>
  <si>
    <t>ADIANTAMENTO DE CLIENTES</t>
  </si>
  <si>
    <t>Pré-operacional</t>
  </si>
  <si>
    <t xml:space="preserve">EM TRÂNSITO </t>
  </si>
  <si>
    <t>IMOBILIZADO</t>
  </si>
  <si>
    <t>19.02</t>
  </si>
  <si>
    <t>19.30</t>
  </si>
  <si>
    <t>19.21</t>
  </si>
  <si>
    <t>21.02</t>
  </si>
  <si>
    <t>21.03</t>
  </si>
  <si>
    <t>21.01</t>
  </si>
  <si>
    <t>PROVISIONAMENTO AJUSTE/RECLAMOS</t>
  </si>
  <si>
    <t>REQUISIÇÃO - A RECEBER DE CLIENTES</t>
  </si>
  <si>
    <t>TAXA CARTÃO CRÉDITO</t>
  </si>
  <si>
    <t>GASTOS FUNCIONARIOS - DIARISTA</t>
  </si>
  <si>
    <t>PRÓ-LABORE SHARIF E NABIL</t>
  </si>
  <si>
    <t>GASTOS CARTORIO/PREFEITURA</t>
  </si>
  <si>
    <t>ICMS ST DIFAL</t>
  </si>
  <si>
    <t>ICMS ST MVA</t>
  </si>
  <si>
    <t>PROGAT</t>
  </si>
  <si>
    <t>COMISSAO</t>
  </si>
  <si>
    <t>TAXA BANCARIA / IOF</t>
  </si>
  <si>
    <t>ALUGUEL DA SALA MATRIZ E FILIAL</t>
  </si>
  <si>
    <t>ALUGUEL ARMAZEM MATRIZ E FILIAL</t>
  </si>
  <si>
    <t>TAXA CONTRATO CAMBIO / OP</t>
  </si>
  <si>
    <t>IMPOSTO RETIDO FONTE CS E IR</t>
  </si>
  <si>
    <t>GASOLINA / VIATICO / PEDAGIO</t>
  </si>
  <si>
    <t>FEI/FIA-FUNDO IMPOSTO TRIMESTRAL</t>
  </si>
  <si>
    <t>21.04</t>
  </si>
  <si>
    <t>PROVISÃO ENTRADA MERCADORIA</t>
  </si>
  <si>
    <t>GASTOS DIVERSOS</t>
  </si>
  <si>
    <t>SEGURO</t>
  </si>
  <si>
    <t>MOVEIS E EQUIPAMENTOS</t>
  </si>
  <si>
    <t>CELULAR VIVO</t>
  </si>
  <si>
    <t>INTERNET</t>
  </si>
  <si>
    <t>DIARISTA - CARGA E DESCARGA CONTEINER</t>
  </si>
  <si>
    <t>PUBLICIDADE</t>
  </si>
  <si>
    <t>HONORÁRIOS - ADVOGADO</t>
  </si>
  <si>
    <t>ICMS DIFERENÇA</t>
  </si>
  <si>
    <t xml:space="preserve">ESTORNO ICMS </t>
  </si>
  <si>
    <t>PIS DIFERENÇA</t>
  </si>
  <si>
    <t>ESTORNO PIS</t>
  </si>
  <si>
    <t>COFINS DIFERENÇA</t>
  </si>
  <si>
    <t>ESTORNO COFINS</t>
  </si>
  <si>
    <t>PROVISAO PIS</t>
  </si>
  <si>
    <t>PROVISAO COFINS</t>
  </si>
  <si>
    <t>PROVISAO ICMS</t>
  </si>
  <si>
    <t>PROVISAO IRPJ/CSLL</t>
  </si>
  <si>
    <t>BONIFICACAO</t>
  </si>
  <si>
    <t>outras entradas/saidas- dif bp e inventario</t>
  </si>
  <si>
    <t>CONDOMINIO</t>
  </si>
  <si>
    <t>IRPJ/CSLL</t>
  </si>
  <si>
    <t>ESTORNO IRPJ/CSLL</t>
  </si>
  <si>
    <t>ISS-FGTS-OBRIGACOES TRABALHISTAS</t>
  </si>
  <si>
    <t>MATERIAL ESCITORIO/LIVRARIA</t>
  </si>
  <si>
    <t>SUPERMERCADO</t>
  </si>
  <si>
    <t>TAXA ESTADUAL</t>
  </si>
  <si>
    <t>LUZ</t>
  </si>
  <si>
    <t>HONORÁRIOS - EURO CONTABILIDADE</t>
  </si>
  <si>
    <t>ALUGUEL - MANUTENÇÃO - IPVA GOL - SEGURO - MULTA</t>
  </si>
  <si>
    <t>GARANTIA PNEUS</t>
  </si>
  <si>
    <t>SISTEMA</t>
  </si>
  <si>
    <t>IPI DIFERNÇA</t>
  </si>
  <si>
    <t>ESTORNO IPI</t>
  </si>
  <si>
    <t>DARF JSCP SHARIF E NASSER</t>
  </si>
  <si>
    <t>PROVISAO IPI</t>
  </si>
  <si>
    <t>REALIZAVEL A LONGO PRAZO</t>
  </si>
  <si>
    <t>16.05.2</t>
  </si>
  <si>
    <t>16.03</t>
  </si>
  <si>
    <t>SERVIÇOS CONTABILIDADE / CONSULTORIA</t>
  </si>
  <si>
    <t>16.04</t>
  </si>
  <si>
    <t>DESCONTO / CORTESIA</t>
  </si>
  <si>
    <t>19.05</t>
  </si>
  <si>
    <t>ESTORNO PROVISAO ENTRADA MERCADORIA</t>
  </si>
  <si>
    <t>VALE TRANSPORTE</t>
  </si>
  <si>
    <t>RECISAO CONTRATO</t>
  </si>
  <si>
    <t>VALE ALIMENTACAO</t>
  </si>
  <si>
    <t>DECIMO TERCEIRO</t>
  </si>
  <si>
    <t>19.06</t>
  </si>
  <si>
    <t>PLANO DE SAUDE</t>
  </si>
  <si>
    <t>SALARIOS</t>
  </si>
  <si>
    <t>INSS</t>
  </si>
  <si>
    <t>19.08</t>
  </si>
  <si>
    <t>ZONA SECUNDARIA</t>
  </si>
  <si>
    <t>INADIMPLENCIA</t>
  </si>
  <si>
    <t>16.02</t>
  </si>
  <si>
    <t>19.09</t>
  </si>
  <si>
    <t>ADTO 0223 25</t>
  </si>
  <si>
    <t>ADTO SOL024</t>
  </si>
  <si>
    <t>BANCO GALICIA</t>
  </si>
  <si>
    <t>BANCO SANTANDER</t>
  </si>
  <si>
    <t xml:space="preserve">ADTO xxxx - DESPACHO </t>
  </si>
  <si>
    <t xml:space="preserve">ADTO PARA </t>
  </si>
  <si>
    <t>PROVISIONAMENTO IR</t>
  </si>
  <si>
    <t>PROVISIONAMENTO IVA</t>
  </si>
  <si>
    <t>PROVISÃO IR</t>
  </si>
  <si>
    <t>PROVISÃO IVA</t>
  </si>
  <si>
    <t xml:space="preserve">PROVISÃO </t>
  </si>
  <si>
    <t>AR$</t>
  </si>
  <si>
    <t>US$</t>
  </si>
  <si>
    <t>PESOS ARGENTINOS</t>
  </si>
  <si>
    <t>DÓLARES AMERICANOS</t>
  </si>
  <si>
    <t>BR-250827-015CN</t>
  </si>
  <si>
    <t>BR-250827-016CN</t>
  </si>
  <si>
    <t>BR-250915-006CN</t>
  </si>
  <si>
    <t>BR-250924-004CN</t>
  </si>
  <si>
    <t xml:space="preserve">CYSAR - DESPACHO SALDO A PAGAR </t>
  </si>
  <si>
    <t>APLICACIÓN SUPERFONDOS SANTANDER RESCATE INMEDIATO</t>
  </si>
  <si>
    <t>TRANSPORTADORA</t>
  </si>
  <si>
    <t>REVENDA</t>
  </si>
  <si>
    <t>PROVISÃO I.I.B.B</t>
  </si>
  <si>
    <t>EMPRÉSTIMO SUNSET SACIS</t>
  </si>
  <si>
    <t>AR-251020-007CN</t>
  </si>
  <si>
    <t>AR-251110-014CNA</t>
  </si>
  <si>
    <t>AR-251223-036CN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</si>
</sst>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(* #,##0_);_(* \(#,##0\);_(* &quot;-&quot;_);_(@_)"/>
    <numFmt numFmtId="166" formatCode="_(* #,##0.00_);_(* \(#,##0.00\);_(* &quot;-&quot;??_);_(@_)"/>
    <numFmt numFmtId="167" formatCode="&quot;US$&quot;#,##0_);\(&quot;US$&quot;#,##0\)"/>
    <numFmt numFmtId="168" formatCode="_(* #,##0.0_);_(* \(#,##0.0\);_(* &quot;-&quot;??_);_(@_)"/>
    <numFmt numFmtId="169" formatCode="_(* #,##0_);_(* \(#,##0\);_(* &quot;-&quot;??_);_(@_)"/>
    <numFmt numFmtId="170" formatCode="[$$-409]#,##0.00"/>
    <numFmt numFmtId="171" formatCode="#,##0;[Red]#,##0"/>
    <numFmt numFmtId="172" formatCode="_(* #,##0.00_);_(* \(#,##0.00\);_(* &quot;-&quot;_);_(@_)"/>
    <numFmt numFmtId="173" formatCode="_(* #,##0.0000_);_(* \(#,##0.0000\);_(* &quot;-&quot;??_);_(@_)"/>
    <numFmt numFmtId="174" formatCode="_ &quot;$&quot;* #,##0.00_ ;_ &quot;$&quot;* \-#,##0.00_ ;_ &quot;$&quot;* &quot;-&quot;_ ;_ @_ "/>
    <numFmt numFmtId="175" formatCode="_-[$R$-416]\ * #,##0.00_-;\-[$R$-416]\ * #,##0.00_-;_-[$R$-416]\ * &quot;-&quot;??_-;_-@_-"/>
    <numFmt numFmtId="176" formatCode="_-[$$-409]* #,##0.00_ ;_-[$$-409]* \-#,##0.00\ ;_-[$$-409]* &quot;-&quot;??_ ;_-@_ "/>
    <numFmt numFmtId="177" formatCode="_-&quot;$&quot;\ * #,##0.00_-;\-&quot;$&quot;\ * #,##0.00_-;_-&quot;$&quot;\ * &quot;-&quot;??_-;_-@_-"/>
    <numFmt numFmtId="178" formatCode="[$ARS]\ #,##0.00"/>
    <numFmt numFmtId="179" formatCode="_-[$ARS]\ * #,##0.00_-;\-[$ARS]\ * #,##0.00_-;_-[$ARS]\ * &quot;-&quot;??_-;_-@_-"/>
  </numFmts>
  <fonts count="6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7"/>
      <name val="Arial"/>
      <family val="2"/>
    </font>
    <font>
      <sz val="5"/>
      <name val="Arial"/>
      <family val="2"/>
    </font>
    <font>
      <sz val="4"/>
      <name val="Arial"/>
      <family val="2"/>
    </font>
    <font>
      <sz val="6"/>
      <name val="Arial"/>
      <family val="2"/>
    </font>
    <font>
      <sz val="8"/>
      <name val="Arial"/>
      <family val="2"/>
    </font>
    <font>
      <sz val="12"/>
      <name val="Arial"/>
      <family val="2"/>
    </font>
    <font>
      <i/>
      <sz val="7"/>
      <name val="Tahoma"/>
      <family val="2"/>
    </font>
    <font>
      <sz val="9"/>
      <name val="Arial"/>
      <family val="2"/>
    </font>
    <font>
      <sz val="10"/>
      <name val="Arial"/>
      <family val="2"/>
    </font>
    <font>
      <i/>
      <sz val="8"/>
      <name val="Tahoma"/>
      <family val="2"/>
    </font>
    <font>
      <sz val="6"/>
      <color indexed="10"/>
      <name val="Arial"/>
      <family val="2"/>
    </font>
    <font>
      <sz val="7"/>
      <color indexed="10"/>
      <name val="Arial"/>
      <family val="2"/>
    </font>
    <font>
      <sz val="5"/>
      <color indexed="10"/>
      <name val="Arial"/>
      <family val="2"/>
    </font>
    <font>
      <sz val="4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i/>
      <sz val="10"/>
      <name val="Tahoma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7"/>
      <name val="Tahoma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Tahoma"/>
      <family val="2"/>
      <charset val="134"/>
    </font>
    <font>
      <sz val="10"/>
      <name val="MS Sans Serif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2"/>
      <color rgb="FF000000"/>
      <name val="Arial"/>
      <family val="2"/>
    </font>
    <font>
      <b/>
      <sz val="10"/>
      <color rgb="FF002060"/>
      <name val="Arial"/>
      <family val="2"/>
    </font>
    <font>
      <b/>
      <sz val="10"/>
      <color rgb="FF0070C0"/>
      <name val="Arial"/>
      <family val="2"/>
    </font>
    <font>
      <sz val="10"/>
      <name val="Arial"/>
      <family val="2"/>
    </font>
    <font>
      <sz val="9"/>
      <color rgb="FF0070C0"/>
      <name val="Arial"/>
      <family val="2"/>
    </font>
    <font>
      <sz val="9"/>
      <color theme="4"/>
      <name val="Arial"/>
      <family val="2"/>
    </font>
    <font>
      <b/>
      <sz val="11"/>
      <color theme="1" tint="4.9989318521683403E-2"/>
      <name val="Arial"/>
      <family val="2"/>
    </font>
    <font>
      <sz val="8"/>
      <color rgb="FF0070C0"/>
      <name val="Arial"/>
      <family val="2"/>
    </font>
    <font>
      <sz val="8"/>
      <name val="Tahoma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2"/>
      <name val="Arial"/>
      <family val="2"/>
    </font>
    <font>
      <sz val="8"/>
      <color rgb="FFFF0000"/>
      <name val="Arial"/>
      <family val="2"/>
    </font>
    <font>
      <sz val="7"/>
      <color rgb="FFFF000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8"/>
      <color rgb="FF0070C0"/>
      <name val="Arial"/>
      <family val="2"/>
    </font>
    <font>
      <b/>
      <sz val="8"/>
      <color rgb="FFFF0000"/>
      <name val="Arial"/>
      <family val="2"/>
    </font>
    <font>
      <b/>
      <sz val="8"/>
      <color theme="4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0"/>
      <name val="Arial"/>
      <family val="2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</fonts>
  <fills count="1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indexed="13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mediumGray">
        <fgColor theme="0" tint="-0.24994659260841701"/>
        <bgColor indexed="65"/>
      </patternFill>
    </fill>
    <fill>
      <patternFill patternType="solid">
        <fgColor rgb="FFCD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</fills>
  <borders count="122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tted">
        <color indexed="64"/>
      </right>
      <top style="hair">
        <color indexed="64"/>
      </top>
      <bottom/>
      <diagonal/>
    </border>
    <border>
      <left style="double">
        <color indexed="64"/>
      </left>
      <right style="dotted">
        <color indexed="64"/>
      </right>
      <top/>
      <bottom/>
      <diagonal/>
    </border>
    <border>
      <left style="double">
        <color indexed="64"/>
      </left>
      <right style="dotted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hair">
        <color indexed="64"/>
      </top>
      <bottom/>
      <diagonal/>
    </border>
    <border>
      <left style="dotted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tted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hair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 style="thin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ck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</borders>
  <cellStyleXfs count="27">
    <xf numFmtId="0" fontId="0" fillId="0" borderId="0"/>
    <xf numFmtId="0" fontId="14" fillId="0" borderId="0"/>
    <xf numFmtId="0" fontId="31" fillId="0" borderId="0"/>
    <xf numFmtId="9" fontId="26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9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29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177" fontId="2" fillId="0" borderId="0" applyFont="0" applyFill="0" applyBorder="0" applyAlignment="0" applyProtection="0"/>
    <xf numFmtId="0" fontId="1" fillId="0" borderId="0"/>
    <xf numFmtId="177" fontId="1" fillId="0" borderId="0" applyFont="0" applyFill="0" applyBorder="0" applyAlignment="0" applyProtection="0"/>
    <xf numFmtId="44" fontId="56" fillId="0" borderId="0" applyFont="0" applyFill="0" applyBorder="0" applyAlignment="0" applyProtection="0"/>
  </cellStyleXfs>
  <cellXfs count="540">
    <xf numFmtId="0" fontId="0" fillId="0" borderId="0" xfId="0"/>
    <xf numFmtId="0" fontId="6" fillId="0" borderId="0" xfId="0" applyFont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9" fillId="2" borderId="9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9" fillId="3" borderId="13" xfId="0" applyFont="1" applyFill="1" applyBorder="1" applyAlignment="1">
      <alignment horizontal="left" vertical="center"/>
    </xf>
    <xf numFmtId="0" fontId="15" fillId="3" borderId="14" xfId="0" applyFont="1" applyFill="1" applyBorder="1" applyAlignment="1">
      <alignment horizontal="left" vertical="center"/>
    </xf>
    <xf numFmtId="0" fontId="24" fillId="5" borderId="14" xfId="0" applyFont="1" applyFill="1" applyBorder="1" applyAlignment="1">
      <alignment horizontal="left" vertical="center"/>
    </xf>
    <xf numFmtId="169" fontId="21" fillId="5" borderId="14" xfId="0" applyNumberFormat="1" applyFont="1" applyFill="1" applyBorder="1" applyAlignment="1">
      <alignment horizontal="right" vertical="center"/>
    </xf>
    <xf numFmtId="0" fontId="13" fillId="0" borderId="22" xfId="0" applyFont="1" applyBorder="1" applyAlignment="1">
      <alignment horizontal="center" vertical="center"/>
    </xf>
    <xf numFmtId="0" fontId="13" fillId="0" borderId="26" xfId="0" applyFont="1" applyBorder="1" applyAlignment="1">
      <alignment horizontal="left" vertical="center"/>
    </xf>
    <xf numFmtId="0" fontId="13" fillId="0" borderId="27" xfId="0" applyFont="1" applyBorder="1" applyAlignment="1">
      <alignment horizontal="left" vertical="center"/>
    </xf>
    <xf numFmtId="0" fontId="24" fillId="7" borderId="7" xfId="0" applyFont="1" applyFill="1" applyBorder="1" applyAlignment="1">
      <alignment horizontal="left" vertical="center"/>
    </xf>
    <xf numFmtId="0" fontId="15" fillId="8" borderId="14" xfId="0" applyFont="1" applyFill="1" applyBorder="1" applyAlignment="1">
      <alignment horizontal="left" vertical="center"/>
    </xf>
    <xf numFmtId="0" fontId="12" fillId="8" borderId="14" xfId="0" applyFont="1" applyFill="1" applyBorder="1" applyAlignment="1">
      <alignment horizontal="left" vertical="center"/>
    </xf>
    <xf numFmtId="0" fontId="9" fillId="8" borderId="11" xfId="0" applyFont="1" applyFill="1" applyBorder="1" applyAlignment="1">
      <alignment vertical="center"/>
    </xf>
    <xf numFmtId="0" fontId="15" fillId="8" borderId="7" xfId="0" applyFont="1" applyFill="1" applyBorder="1" applyAlignment="1">
      <alignment horizontal="left" vertical="center"/>
    </xf>
    <xf numFmtId="0" fontId="12" fillId="8" borderId="7" xfId="0" applyFont="1" applyFill="1" applyBorder="1" applyAlignment="1">
      <alignment horizontal="left" vertical="center"/>
    </xf>
    <xf numFmtId="0" fontId="27" fillId="8" borderId="7" xfId="0" applyFont="1" applyFill="1" applyBorder="1" applyAlignment="1">
      <alignment horizontal="right" vertical="center"/>
    </xf>
    <xf numFmtId="0" fontId="9" fillId="8" borderId="9" xfId="0" applyFont="1" applyFill="1" applyBorder="1" applyAlignment="1">
      <alignment vertical="center"/>
    </xf>
    <xf numFmtId="0" fontId="15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30" fillId="7" borderId="7" xfId="0" applyFont="1" applyFill="1" applyBorder="1" applyAlignment="1">
      <alignment horizontal="left" vertical="center"/>
    </xf>
    <xf numFmtId="0" fontId="22" fillId="4" borderId="27" xfId="0" applyFont="1" applyFill="1" applyBorder="1" applyAlignment="1">
      <alignment horizontal="center" vertical="center"/>
    </xf>
    <xf numFmtId="0" fontId="24" fillId="10" borderId="7" xfId="0" applyFont="1" applyFill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33" xfId="0" applyFont="1" applyBorder="1" applyAlignment="1">
      <alignment vertical="center"/>
    </xf>
    <xf numFmtId="0" fontId="10" fillId="0" borderId="34" xfId="0" applyFont="1" applyBorder="1" applyAlignment="1">
      <alignment horizontal="center" vertical="center"/>
    </xf>
    <xf numFmtId="0" fontId="22" fillId="4" borderId="27" xfId="0" applyFont="1" applyFill="1" applyBorder="1" applyAlignment="1">
      <alignment horizontal="left" vertical="center"/>
    </xf>
    <xf numFmtId="0" fontId="17" fillId="7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10" fillId="7" borderId="8" xfId="0" applyFont="1" applyFill="1" applyBorder="1" applyAlignment="1">
      <alignment horizontal="left" vertical="center"/>
    </xf>
    <xf numFmtId="0" fontId="10" fillId="7" borderId="43" xfId="0" applyFont="1" applyFill="1" applyBorder="1" applyAlignment="1">
      <alignment vertical="center"/>
    </xf>
    <xf numFmtId="0" fontId="10" fillId="7" borderId="43" xfId="0" applyFont="1" applyFill="1" applyBorder="1" applyAlignment="1">
      <alignment horizontal="center" vertical="center"/>
    </xf>
    <xf numFmtId="0" fontId="9" fillId="7" borderId="46" xfId="0" applyFont="1" applyFill="1" applyBorder="1" applyAlignment="1">
      <alignment vertical="center"/>
    </xf>
    <xf numFmtId="0" fontId="22" fillId="7" borderId="47" xfId="0" applyFont="1" applyFill="1" applyBorder="1" applyAlignment="1">
      <alignment vertical="center"/>
    </xf>
    <xf numFmtId="0" fontId="6" fillId="7" borderId="47" xfId="0" applyFont="1" applyFill="1" applyBorder="1" applyAlignment="1">
      <alignment vertical="center"/>
    </xf>
    <xf numFmtId="169" fontId="21" fillId="0" borderId="0" xfId="12" applyNumberFormat="1" applyFont="1" applyBorder="1" applyAlignment="1">
      <alignment horizontal="left" vertical="center"/>
    </xf>
    <xf numFmtId="0" fontId="11" fillId="7" borderId="43" xfId="0" applyFont="1" applyFill="1" applyBorder="1" applyAlignment="1">
      <alignment vertical="center"/>
    </xf>
    <xf numFmtId="169" fontId="36" fillId="0" borderId="0" xfId="12" applyNumberFormat="1" applyFont="1" applyBorder="1" applyAlignment="1">
      <alignment horizontal="right" vertical="center"/>
    </xf>
    <xf numFmtId="169" fontId="33" fillId="0" borderId="0" xfId="12" applyNumberFormat="1" applyFont="1" applyBorder="1" applyAlignment="1">
      <alignment horizontal="right" vertical="center"/>
    </xf>
    <xf numFmtId="169" fontId="34" fillId="0" borderId="0" xfId="12" applyNumberFormat="1" applyFont="1" applyFill="1" applyBorder="1" applyAlignment="1">
      <alignment horizontal="right" vertical="center"/>
    </xf>
    <xf numFmtId="169" fontId="6" fillId="0" borderId="0" xfId="12" applyNumberFormat="1" applyFont="1" applyBorder="1" applyAlignment="1">
      <alignment horizontal="right" vertical="center"/>
    </xf>
    <xf numFmtId="169" fontId="22" fillId="7" borderId="0" xfId="12" applyNumberFormat="1" applyFont="1" applyFill="1" applyBorder="1" applyAlignment="1">
      <alignment vertical="center"/>
    </xf>
    <xf numFmtId="169" fontId="0" fillId="2" borderId="25" xfId="12" applyNumberFormat="1" applyFont="1" applyFill="1" applyBorder="1" applyAlignment="1">
      <alignment horizontal="left" vertical="center"/>
    </xf>
    <xf numFmtId="169" fontId="33" fillId="0" borderId="0" xfId="12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10" fillId="0" borderId="0" xfId="12" applyFont="1" applyBorder="1" applyAlignment="1">
      <alignment horizontal="right" vertical="center"/>
    </xf>
    <xf numFmtId="166" fontId="5" fillId="8" borderId="65" xfId="12" applyFont="1" applyFill="1" applyBorder="1" applyAlignment="1">
      <alignment horizontal="right" vertical="center"/>
    </xf>
    <xf numFmtId="166" fontId="5" fillId="0" borderId="1" xfId="12" applyFont="1" applyFill="1" applyBorder="1" applyAlignment="1">
      <alignment horizontal="right" vertical="center"/>
    </xf>
    <xf numFmtId="166" fontId="5" fillId="0" borderId="53" xfId="12" applyFont="1" applyFill="1" applyBorder="1" applyAlignment="1">
      <alignment horizontal="right" vertical="center"/>
    </xf>
    <xf numFmtId="166" fontId="0" fillId="0" borderId="72" xfId="12" applyFont="1" applyFill="1" applyBorder="1" applyAlignment="1">
      <alignment horizontal="right" vertical="center"/>
    </xf>
    <xf numFmtId="166" fontId="5" fillId="0" borderId="39" xfId="12" applyFont="1" applyFill="1" applyBorder="1" applyAlignment="1">
      <alignment horizontal="right" vertical="center"/>
    </xf>
    <xf numFmtId="166" fontId="12" fillId="8" borderId="1" xfId="12" applyFont="1" applyFill="1" applyBorder="1" applyAlignment="1">
      <alignment vertical="center"/>
    </xf>
    <xf numFmtId="166" fontId="12" fillId="8" borderId="9" xfId="12" applyFont="1" applyFill="1" applyBorder="1" applyAlignment="1">
      <alignment vertical="center"/>
    </xf>
    <xf numFmtId="0" fontId="5" fillId="0" borderId="8" xfId="0" applyFont="1" applyBorder="1" applyAlignment="1">
      <alignment vertical="center"/>
    </xf>
    <xf numFmtId="169" fontId="5" fillId="0" borderId="0" xfId="12" applyNumberFormat="1" applyFont="1" applyBorder="1" applyAlignment="1">
      <alignment horizontal="right" vertical="center"/>
    </xf>
    <xf numFmtId="166" fontId="5" fillId="0" borderId="74" xfId="12" applyFont="1" applyFill="1" applyBorder="1" applyAlignment="1">
      <alignment horizontal="right" vertical="center"/>
    </xf>
    <xf numFmtId="166" fontId="5" fillId="0" borderId="75" xfId="12" applyFont="1" applyFill="1" applyBorder="1" applyAlignment="1">
      <alignment vertical="center"/>
    </xf>
    <xf numFmtId="166" fontId="5" fillId="0" borderId="74" xfId="12" applyFont="1" applyFill="1" applyBorder="1" applyAlignment="1">
      <alignment vertical="center"/>
    </xf>
    <xf numFmtId="166" fontId="5" fillId="0" borderId="76" xfId="12" applyFont="1" applyFill="1" applyBorder="1" applyAlignment="1">
      <alignment vertical="center"/>
    </xf>
    <xf numFmtId="0" fontId="5" fillId="0" borderId="0" xfId="0" applyFont="1" applyAlignment="1">
      <alignment vertical="center"/>
    </xf>
    <xf numFmtId="166" fontId="5" fillId="0" borderId="66" xfId="12" applyFont="1" applyFill="1" applyBorder="1" applyAlignment="1">
      <alignment horizontal="right" vertical="center"/>
    </xf>
    <xf numFmtId="166" fontId="5" fillId="0" borderId="53" xfId="12" applyFont="1" applyFill="1" applyBorder="1" applyAlignment="1">
      <alignment vertical="center"/>
    </xf>
    <xf numFmtId="166" fontId="9" fillId="8" borderId="1" xfId="12" applyFont="1" applyFill="1" applyBorder="1" applyAlignment="1">
      <alignment vertical="center"/>
    </xf>
    <xf numFmtId="166" fontId="9" fillId="8" borderId="9" xfId="12" applyFont="1" applyFill="1" applyBorder="1" applyAlignment="1">
      <alignment vertical="center"/>
    </xf>
    <xf numFmtId="166" fontId="12" fillId="8" borderId="1" xfId="12" applyFont="1" applyFill="1" applyBorder="1" applyAlignment="1">
      <alignment horizontal="left" vertical="center"/>
    </xf>
    <xf numFmtId="166" fontId="5" fillId="0" borderId="54" xfId="12" applyFont="1" applyFill="1" applyBorder="1" applyAlignment="1">
      <alignment horizontal="right" vertical="center"/>
    </xf>
    <xf numFmtId="166" fontId="5" fillId="0" borderId="22" xfId="12" applyFont="1" applyFill="1" applyBorder="1" applyAlignment="1">
      <alignment horizontal="right" vertical="center"/>
    </xf>
    <xf numFmtId="166" fontId="5" fillId="0" borderId="41" xfId="12" applyFont="1" applyFill="1" applyBorder="1" applyAlignment="1">
      <alignment horizontal="right" vertical="center"/>
    </xf>
    <xf numFmtId="166" fontId="5" fillId="0" borderId="2" xfId="12" applyFont="1" applyFill="1" applyBorder="1" applyAlignment="1">
      <alignment horizontal="right" vertical="center"/>
    </xf>
    <xf numFmtId="166" fontId="5" fillId="0" borderId="2" xfId="12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166" fontId="5" fillId="0" borderId="3" xfId="12" applyFont="1" applyBorder="1" applyAlignment="1">
      <alignment horizontal="right" vertical="center"/>
    </xf>
    <xf numFmtId="166" fontId="9" fillId="8" borderId="7" xfId="12" applyFont="1" applyFill="1" applyBorder="1" applyAlignment="1">
      <alignment vertical="center"/>
    </xf>
    <xf numFmtId="166" fontId="5" fillId="10" borderId="55" xfId="12" applyFont="1" applyFill="1" applyBorder="1" applyAlignment="1">
      <alignment horizontal="right" vertical="center"/>
    </xf>
    <xf numFmtId="166" fontId="5" fillId="10" borderId="70" xfId="12" applyFont="1" applyFill="1" applyBorder="1" applyAlignment="1">
      <alignment horizontal="right" vertical="center"/>
    </xf>
    <xf numFmtId="166" fontId="5" fillId="10" borderId="42" xfId="12" applyFont="1" applyFill="1" applyBorder="1" applyAlignment="1">
      <alignment horizontal="right" vertical="center"/>
    </xf>
    <xf numFmtId="166" fontId="5" fillId="2" borderId="53" xfId="12" applyFont="1" applyFill="1" applyBorder="1" applyAlignment="1">
      <alignment horizontal="right" vertical="center"/>
    </xf>
    <xf numFmtId="166" fontId="5" fillId="2" borderId="66" xfId="12" applyFont="1" applyFill="1" applyBorder="1" applyAlignment="1">
      <alignment horizontal="right" vertical="center"/>
    </xf>
    <xf numFmtId="166" fontId="5" fillId="2" borderId="39" xfId="12" applyFont="1" applyFill="1" applyBorder="1" applyAlignment="1">
      <alignment horizontal="right" vertical="center"/>
    </xf>
    <xf numFmtId="166" fontId="6" fillId="7" borderId="48" xfId="12" applyFont="1" applyFill="1" applyBorder="1" applyAlignment="1">
      <alignment horizontal="right" vertical="center"/>
    </xf>
    <xf numFmtId="166" fontId="6" fillId="7" borderId="49" xfId="12" applyFont="1" applyFill="1" applyBorder="1" applyAlignment="1">
      <alignment horizontal="right" vertical="center"/>
    </xf>
    <xf numFmtId="166" fontId="6" fillId="7" borderId="50" xfId="12" applyFont="1" applyFill="1" applyBorder="1" applyAlignment="1">
      <alignment horizontal="right" vertical="center"/>
    </xf>
    <xf numFmtId="0" fontId="16" fillId="0" borderId="0" xfId="0" applyFont="1" applyAlignment="1">
      <alignment vertical="center"/>
    </xf>
    <xf numFmtId="166" fontId="19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166" fontId="6" fillId="0" borderId="0" xfId="12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166" fontId="5" fillId="0" borderId="67" xfId="12" applyFont="1" applyFill="1" applyBorder="1" applyAlignment="1">
      <alignment horizontal="right" vertical="center"/>
    </xf>
    <xf numFmtId="166" fontId="34" fillId="0" borderId="39" xfId="12" applyFont="1" applyFill="1" applyBorder="1" applyAlignment="1">
      <alignment horizontal="right" vertical="center"/>
    </xf>
    <xf numFmtId="0" fontId="5" fillId="3" borderId="15" xfId="0" applyFont="1" applyFill="1" applyBorder="1" applyAlignment="1">
      <alignment horizontal="left" vertical="center"/>
    </xf>
    <xf numFmtId="166" fontId="5" fillId="3" borderId="17" xfId="12" applyFont="1" applyFill="1" applyBorder="1" applyAlignment="1">
      <alignment horizontal="right" vertical="center"/>
    </xf>
    <xf numFmtId="166" fontId="21" fillId="3" borderId="58" xfId="12" applyFont="1" applyFill="1" applyBorder="1" applyAlignment="1">
      <alignment horizontal="right" vertical="center"/>
    </xf>
    <xf numFmtId="166" fontId="21" fillId="3" borderId="59" xfId="12" applyFont="1" applyFill="1" applyBorder="1" applyAlignment="1">
      <alignment horizontal="right" vertical="center"/>
    </xf>
    <xf numFmtId="166" fontId="21" fillId="3" borderId="17" xfId="12" applyFont="1" applyFill="1" applyBorder="1" applyAlignment="1">
      <alignment horizontal="right" vertical="center"/>
    </xf>
    <xf numFmtId="0" fontId="5" fillId="0" borderId="7" xfId="0" applyFont="1" applyBorder="1" applyAlignment="1">
      <alignment horizontal="left" vertical="center"/>
    </xf>
    <xf numFmtId="166" fontId="5" fillId="0" borderId="77" xfId="12" applyFont="1" applyFill="1" applyBorder="1" applyAlignment="1">
      <alignment horizontal="right" vertical="center"/>
    </xf>
    <xf numFmtId="166" fontId="5" fillId="0" borderId="70" xfId="12" applyFont="1" applyFill="1" applyBorder="1" applyAlignment="1">
      <alignment horizontal="right" vertical="center"/>
    </xf>
    <xf numFmtId="166" fontId="34" fillId="0" borderId="42" xfId="12" applyFont="1" applyFill="1" applyBorder="1" applyAlignment="1">
      <alignment horizontal="right" vertical="center"/>
    </xf>
    <xf numFmtId="166" fontId="34" fillId="0" borderId="55" xfId="12" applyFont="1" applyFill="1" applyBorder="1" applyAlignment="1">
      <alignment horizontal="right" vertical="center"/>
    </xf>
    <xf numFmtId="0" fontId="13" fillId="0" borderId="0" xfId="0" applyFont="1" applyAlignment="1">
      <alignment vertical="center"/>
    </xf>
    <xf numFmtId="166" fontId="5" fillId="0" borderId="61" xfId="12" applyFont="1" applyBorder="1" applyAlignment="1">
      <alignment horizontal="right" vertical="center"/>
    </xf>
    <xf numFmtId="0" fontId="5" fillId="3" borderId="31" xfId="0" applyFont="1" applyFill="1" applyBorder="1" applyAlignment="1">
      <alignment horizontal="left" vertical="center"/>
    </xf>
    <xf numFmtId="166" fontId="5" fillId="3" borderId="5" xfId="12" applyFont="1" applyFill="1" applyBorder="1" applyAlignment="1">
      <alignment horizontal="right" vertical="center"/>
    </xf>
    <xf numFmtId="166" fontId="5" fillId="3" borderId="71" xfId="12" applyFont="1" applyFill="1" applyBorder="1" applyAlignment="1">
      <alignment horizontal="right" vertical="center"/>
    </xf>
    <xf numFmtId="166" fontId="21" fillId="3" borderId="5" xfId="12" applyFont="1" applyFill="1" applyBorder="1" applyAlignment="1">
      <alignment horizontal="right" vertical="center"/>
    </xf>
    <xf numFmtId="166" fontId="21" fillId="3" borderId="31" xfId="12" applyFont="1" applyFill="1" applyBorder="1" applyAlignment="1">
      <alignment horizontal="right" vertical="center"/>
    </xf>
    <xf numFmtId="166" fontId="21" fillId="3" borderId="71" xfId="12" applyFont="1" applyFill="1" applyBorder="1" applyAlignment="1">
      <alignment horizontal="right" vertical="center"/>
    </xf>
    <xf numFmtId="0" fontId="5" fillId="7" borderId="0" xfId="0" applyFont="1" applyFill="1" applyAlignment="1">
      <alignment vertical="center"/>
    </xf>
    <xf numFmtId="0" fontId="5" fillId="7" borderId="8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7" borderId="38" xfId="0" applyFont="1" applyFill="1" applyBorder="1" applyAlignment="1">
      <alignment horizontal="left" vertical="center"/>
    </xf>
    <xf numFmtId="166" fontId="5" fillId="12" borderId="68" xfId="12" applyFont="1" applyFill="1" applyBorder="1" applyAlignment="1">
      <alignment horizontal="right" vertical="center"/>
    </xf>
    <xf numFmtId="166" fontId="5" fillId="12" borderId="73" xfId="12" applyFont="1" applyFill="1" applyBorder="1" applyAlignment="1">
      <alignment horizontal="right" vertical="center"/>
    </xf>
    <xf numFmtId="166" fontId="5" fillId="12" borderId="60" xfId="12" applyFont="1" applyFill="1" applyBorder="1" applyAlignment="1">
      <alignment horizontal="right" vertical="center"/>
    </xf>
    <xf numFmtId="166" fontId="21" fillId="3" borderId="17" xfId="12" applyFont="1" applyFill="1" applyBorder="1" applyAlignment="1">
      <alignment horizontal="left" vertical="center"/>
    </xf>
    <xf numFmtId="166" fontId="33" fillId="0" borderId="67" xfId="12" applyFont="1" applyBorder="1" applyAlignment="1">
      <alignment horizontal="right" vertical="center"/>
    </xf>
    <xf numFmtId="166" fontId="5" fillId="0" borderId="53" xfId="12" applyFont="1" applyBorder="1" applyAlignment="1">
      <alignment horizontal="right" vertical="center"/>
    </xf>
    <xf numFmtId="166" fontId="32" fillId="0" borderId="39" xfId="12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166" fontId="5" fillId="0" borderId="7" xfId="12" applyFont="1" applyFill="1" applyBorder="1" applyAlignment="1">
      <alignment horizontal="right" vertical="center"/>
    </xf>
    <xf numFmtId="166" fontId="33" fillId="0" borderId="7" xfId="0" applyNumberFormat="1" applyFont="1" applyBorder="1" applyAlignment="1">
      <alignment horizontal="right" vertical="center"/>
    </xf>
    <xf numFmtId="166" fontId="5" fillId="0" borderId="7" xfId="0" applyNumberFormat="1" applyFont="1" applyBorder="1" applyAlignment="1">
      <alignment horizontal="right" vertical="center"/>
    </xf>
    <xf numFmtId="166" fontId="32" fillId="0" borderId="7" xfId="0" applyNumberFormat="1" applyFont="1" applyBorder="1" applyAlignment="1">
      <alignment horizontal="right" vertical="center"/>
    </xf>
    <xf numFmtId="166" fontId="0" fillId="0" borderId="7" xfId="0" applyNumberFormat="1" applyBorder="1" applyAlignment="1">
      <alignment horizontal="right" vertical="center"/>
    </xf>
    <xf numFmtId="0" fontId="5" fillId="5" borderId="13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vertical="center"/>
    </xf>
    <xf numFmtId="169" fontId="5" fillId="5" borderId="14" xfId="12" applyNumberFormat="1" applyFont="1" applyFill="1" applyBorder="1" applyAlignment="1">
      <alignment horizontal="right" vertical="center"/>
    </xf>
    <xf numFmtId="169" fontId="5" fillId="5" borderId="14" xfId="0" applyNumberFormat="1" applyFont="1" applyFill="1" applyBorder="1" applyAlignment="1">
      <alignment horizontal="right" vertical="center"/>
    </xf>
    <xf numFmtId="166" fontId="5" fillId="5" borderId="65" xfId="12" applyFont="1" applyFill="1" applyBorder="1" applyAlignment="1">
      <alignment vertical="center"/>
    </xf>
    <xf numFmtId="0" fontId="0" fillId="0" borderId="3" xfId="0" applyBorder="1" applyAlignment="1">
      <alignment vertical="center"/>
    </xf>
    <xf numFmtId="166" fontId="5" fillId="0" borderId="3" xfId="12" applyFont="1" applyBorder="1" applyAlignment="1">
      <alignment vertical="center"/>
    </xf>
    <xf numFmtId="166" fontId="5" fillId="0" borderId="3" xfId="0" applyNumberFormat="1" applyFont="1" applyBorder="1" applyAlignment="1">
      <alignment horizontal="right" vertical="center"/>
    </xf>
    <xf numFmtId="166" fontId="0" fillId="0" borderId="3" xfId="0" applyNumberFormat="1" applyBorder="1" applyAlignment="1">
      <alignment horizontal="right" vertical="center"/>
    </xf>
    <xf numFmtId="166" fontId="5" fillId="0" borderId="6" xfId="12" applyFont="1" applyBorder="1" applyAlignment="1">
      <alignment horizontal="right" vertical="center"/>
    </xf>
    <xf numFmtId="0" fontId="0" fillId="0" borderId="0" xfId="0" applyAlignment="1">
      <alignment vertical="center"/>
    </xf>
    <xf numFmtId="166" fontId="25" fillId="0" borderId="0" xfId="12" applyFont="1" applyFill="1" applyBorder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73" fontId="5" fillId="0" borderId="0" xfId="12" applyNumberFormat="1" applyFont="1" applyBorder="1" applyAlignment="1">
      <alignment horizontal="right" vertical="center"/>
    </xf>
    <xf numFmtId="173" fontId="5" fillId="0" borderId="0" xfId="0" applyNumberFormat="1" applyFont="1" applyAlignment="1">
      <alignment horizontal="right" vertical="center"/>
    </xf>
    <xf numFmtId="173" fontId="0" fillId="0" borderId="0" xfId="0" applyNumberFormat="1" applyAlignment="1">
      <alignment horizontal="right" vertical="center"/>
    </xf>
    <xf numFmtId="169" fontId="5" fillId="0" borderId="0" xfId="0" applyNumberFormat="1" applyFont="1" applyAlignment="1">
      <alignment horizontal="right" vertical="center"/>
    </xf>
    <xf numFmtId="169" fontId="0" fillId="0" borderId="0" xfId="0" applyNumberFormat="1" applyAlignment="1">
      <alignment horizontal="right" vertical="center"/>
    </xf>
    <xf numFmtId="169" fontId="5" fillId="0" borderId="61" xfId="12" applyNumberFormat="1" applyFont="1" applyBorder="1" applyAlignment="1">
      <alignment horizontal="right" vertical="center"/>
    </xf>
    <xf numFmtId="166" fontId="21" fillId="0" borderId="2" xfId="12" applyFont="1" applyBorder="1" applyAlignment="1">
      <alignment horizontal="center" vertical="center"/>
    </xf>
    <xf numFmtId="37" fontId="5" fillId="0" borderId="0" xfId="12" applyNumberFormat="1" applyFont="1" applyBorder="1" applyAlignment="1">
      <alignment horizontal="right" vertical="center"/>
    </xf>
    <xf numFmtId="169" fontId="5" fillId="0" borderId="24" xfId="12" applyNumberFormat="1" applyFont="1" applyBorder="1" applyAlignment="1">
      <alignment horizontal="left" vertical="center"/>
    </xf>
    <xf numFmtId="169" fontId="5" fillId="0" borderId="0" xfId="12" applyNumberFormat="1" applyFont="1" applyBorder="1" applyAlignment="1">
      <alignment horizontal="left" vertical="center"/>
    </xf>
    <xf numFmtId="166" fontId="33" fillId="0" borderId="2" xfId="12" applyFont="1" applyFill="1" applyBorder="1" applyAlignment="1">
      <alignment horizontal="right" vertical="center"/>
    </xf>
    <xf numFmtId="169" fontId="5" fillId="6" borderId="25" xfId="12" applyNumberFormat="1" applyFont="1" applyFill="1" applyBorder="1" applyAlignment="1">
      <alignment horizontal="right" vertical="center"/>
    </xf>
    <xf numFmtId="16" fontId="13" fillId="0" borderId="0" xfId="0" applyNumberFormat="1" applyFont="1" applyAlignment="1">
      <alignment horizontal="center" vertical="center"/>
    </xf>
    <xf numFmtId="4" fontId="32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4" fontId="5" fillId="0" borderId="0" xfId="0" applyNumberFormat="1" applyFont="1" applyAlignment="1">
      <alignment vertical="center"/>
    </xf>
    <xf numFmtId="166" fontId="36" fillId="0" borderId="2" xfId="12" applyFont="1" applyBorder="1" applyAlignment="1">
      <alignment horizontal="right" vertical="center"/>
    </xf>
    <xf numFmtId="169" fontId="5" fillId="2" borderId="25" xfId="12" applyNumberFormat="1" applyFont="1" applyFill="1" applyBorder="1" applyAlignment="1">
      <alignment horizontal="right" vertical="center"/>
    </xf>
    <xf numFmtId="0" fontId="13" fillId="7" borderId="0" xfId="0" applyFont="1" applyFill="1" applyAlignment="1">
      <alignment vertical="center"/>
    </xf>
    <xf numFmtId="169" fontId="5" fillId="11" borderId="44" xfId="0" applyNumberFormat="1" applyFont="1" applyFill="1" applyBorder="1" applyAlignment="1">
      <alignment horizontal="left" vertical="center"/>
    </xf>
    <xf numFmtId="169" fontId="5" fillId="7" borderId="0" xfId="12" applyNumberFormat="1" applyFont="1" applyFill="1" applyBorder="1" applyAlignment="1">
      <alignment horizontal="left" vertical="center"/>
    </xf>
    <xf numFmtId="169" fontId="5" fillId="7" borderId="20" xfId="12" applyNumberFormat="1" applyFont="1" applyFill="1" applyBorder="1" applyAlignment="1">
      <alignment horizontal="left" vertical="center"/>
    </xf>
    <xf numFmtId="169" fontId="5" fillId="7" borderId="20" xfId="12" applyNumberFormat="1" applyFont="1" applyFill="1" applyBorder="1" applyAlignment="1">
      <alignment horizontal="right" vertical="center"/>
    </xf>
    <xf numFmtId="166" fontId="5" fillId="11" borderId="45" xfId="12" applyFont="1" applyFill="1" applyBorder="1" applyAlignment="1">
      <alignment horizontal="right" vertical="center"/>
    </xf>
    <xf numFmtId="0" fontId="10" fillId="7" borderId="0" xfId="0" applyFont="1" applyFill="1" applyAlignment="1">
      <alignment vertical="center"/>
    </xf>
    <xf numFmtId="37" fontId="10" fillId="7" borderId="0" xfId="0" applyNumberFormat="1" applyFont="1" applyFill="1" applyAlignment="1">
      <alignment vertical="center"/>
    </xf>
    <xf numFmtId="37" fontId="5" fillId="7" borderId="0" xfId="0" applyNumberFormat="1" applyFont="1" applyFill="1" applyAlignment="1">
      <alignment horizontal="left" vertical="center"/>
    </xf>
    <xf numFmtId="37" fontId="5" fillId="7" borderId="0" xfId="0" applyNumberFormat="1" applyFont="1" applyFill="1" applyAlignment="1">
      <alignment horizontal="right" vertical="center"/>
    </xf>
    <xf numFmtId="37" fontId="0" fillId="7" borderId="0" xfId="0" applyNumberFormat="1" applyFill="1" applyAlignment="1">
      <alignment horizontal="right" vertical="center"/>
    </xf>
    <xf numFmtId="169" fontId="5" fillId="7" borderId="0" xfId="12" applyNumberFormat="1" applyFont="1" applyFill="1" applyBorder="1" applyAlignment="1">
      <alignment vertical="center"/>
    </xf>
    <xf numFmtId="0" fontId="11" fillId="7" borderId="0" xfId="0" applyFont="1" applyFill="1" applyAlignment="1">
      <alignment vertical="center"/>
    </xf>
    <xf numFmtId="169" fontId="5" fillId="0" borderId="35" xfId="12" applyNumberFormat="1" applyFont="1" applyBorder="1" applyAlignment="1">
      <alignment horizontal="left" vertical="center"/>
    </xf>
    <xf numFmtId="169" fontId="5" fillId="0" borderId="33" xfId="12" applyNumberFormat="1" applyFont="1" applyBorder="1" applyAlignment="1">
      <alignment horizontal="left" vertical="center"/>
    </xf>
    <xf numFmtId="166" fontId="21" fillId="5" borderId="37" xfId="12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169" fontId="17" fillId="0" borderId="0" xfId="0" applyNumberFormat="1" applyFont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174" fontId="5" fillId="0" borderId="0" xfId="18" applyNumberFormat="1" applyFont="1" applyBorder="1" applyAlignment="1">
      <alignment vertical="center"/>
    </xf>
    <xf numFmtId="0" fontId="21" fillId="7" borderId="24" xfId="0" applyFont="1" applyFill="1" applyBorder="1" applyAlignment="1">
      <alignment horizontal="left" vertical="center"/>
    </xf>
    <xf numFmtId="0" fontId="21" fillId="7" borderId="0" xfId="0" applyFont="1" applyFill="1" applyAlignment="1">
      <alignment horizontal="left" vertical="center"/>
    </xf>
    <xf numFmtId="166" fontId="22" fillId="4" borderId="27" xfId="12" applyFont="1" applyFill="1" applyBorder="1" applyAlignment="1">
      <alignment horizontal="center" vertical="center"/>
    </xf>
    <xf numFmtId="166" fontId="6" fillId="0" borderId="0" xfId="12" applyFont="1" applyBorder="1" applyAlignment="1">
      <alignment vertical="center"/>
    </xf>
    <xf numFmtId="166" fontId="9" fillId="8" borderId="14" xfId="12" applyFont="1" applyFill="1" applyBorder="1" applyAlignment="1">
      <alignment vertical="center"/>
    </xf>
    <xf numFmtId="166" fontId="13" fillId="0" borderId="1" xfId="12" applyFont="1" applyBorder="1" applyAlignment="1">
      <alignment vertical="center"/>
    </xf>
    <xf numFmtId="166" fontId="27" fillId="8" borderId="7" xfId="12" applyFont="1" applyFill="1" applyBorder="1" applyAlignment="1">
      <alignment horizontal="center" vertical="center"/>
    </xf>
    <xf numFmtId="166" fontId="9" fillId="2" borderId="1" xfId="12" applyFont="1" applyFill="1" applyBorder="1" applyAlignment="1">
      <alignment vertical="center"/>
    </xf>
    <xf numFmtId="166" fontId="9" fillId="7" borderId="47" xfId="12" applyFont="1" applyFill="1" applyBorder="1" applyAlignment="1">
      <alignment vertical="center"/>
    </xf>
    <xf numFmtId="166" fontId="13" fillId="0" borderId="20" xfId="12" applyFont="1" applyBorder="1" applyAlignment="1">
      <alignment vertical="center"/>
    </xf>
    <xf numFmtId="166" fontId="13" fillId="0" borderId="27" xfId="12" applyFont="1" applyBorder="1" applyAlignment="1">
      <alignment horizontal="left" vertical="center"/>
    </xf>
    <xf numFmtId="166" fontId="35" fillId="0" borderId="0" xfId="12" applyFont="1"/>
    <xf numFmtId="166" fontId="10" fillId="0" borderId="33" xfId="12" applyFont="1" applyBorder="1" applyAlignment="1">
      <alignment vertical="center"/>
    </xf>
    <xf numFmtId="166" fontId="22" fillId="0" borderId="33" xfId="12" applyFont="1" applyBorder="1" applyAlignment="1">
      <alignment horizontal="right" vertical="center"/>
    </xf>
    <xf numFmtId="166" fontId="5" fillId="0" borderId="0" xfId="12" applyFont="1" applyAlignment="1">
      <alignment vertical="center"/>
    </xf>
    <xf numFmtId="166" fontId="5" fillId="10" borderId="7" xfId="12" applyFont="1" applyFill="1" applyBorder="1" applyAlignment="1">
      <alignment vertical="center"/>
    </xf>
    <xf numFmtId="166" fontId="16" fillId="0" borderId="0" xfId="12" applyFont="1" applyAlignment="1">
      <alignment vertical="center"/>
    </xf>
    <xf numFmtId="166" fontId="10" fillId="0" borderId="0" xfId="12" applyFont="1" applyAlignment="1">
      <alignment horizontal="center" vertical="center"/>
    </xf>
    <xf numFmtId="166" fontId="5" fillId="0" borderId="7" xfId="12" applyFont="1" applyBorder="1" applyAlignment="1">
      <alignment vertical="center"/>
    </xf>
    <xf numFmtId="166" fontId="13" fillId="0" borderId="0" xfId="12" applyFont="1" applyAlignment="1">
      <alignment vertical="center"/>
    </xf>
    <xf numFmtId="166" fontId="5" fillId="5" borderId="14" xfId="12" applyFont="1" applyFill="1" applyBorder="1" applyAlignment="1">
      <alignment vertical="center"/>
    </xf>
    <xf numFmtId="166" fontId="5" fillId="0" borderId="0" xfId="12" applyFont="1" applyBorder="1" applyAlignment="1">
      <alignment vertical="center"/>
    </xf>
    <xf numFmtId="166" fontId="13" fillId="0" borderId="0" xfId="12" applyFont="1" applyAlignment="1">
      <alignment horizontal="center" vertical="center"/>
    </xf>
    <xf numFmtId="166" fontId="13" fillId="7" borderId="0" xfId="12" applyFont="1" applyFill="1" applyAlignment="1">
      <alignment vertical="center"/>
    </xf>
    <xf numFmtId="166" fontId="10" fillId="7" borderId="0" xfId="12" applyFont="1" applyFill="1" applyAlignment="1">
      <alignment vertical="center"/>
    </xf>
    <xf numFmtId="166" fontId="6" fillId="0" borderId="0" xfId="12" applyFont="1" applyAlignment="1">
      <alignment vertical="center"/>
    </xf>
    <xf numFmtId="169" fontId="7" fillId="8" borderId="14" xfId="12" applyNumberFormat="1" applyFont="1" applyFill="1" applyBorder="1" applyAlignment="1">
      <alignment horizontal="right" vertical="center" shrinkToFit="1"/>
    </xf>
    <xf numFmtId="169" fontId="7" fillId="8" borderId="7" xfId="12" applyNumberFormat="1" applyFont="1" applyFill="1" applyBorder="1" applyAlignment="1">
      <alignment horizontal="right" vertical="center" shrinkToFit="1"/>
    </xf>
    <xf numFmtId="169" fontId="7" fillId="8" borderId="1" xfId="12" applyNumberFormat="1" applyFont="1" applyFill="1" applyBorder="1" applyAlignment="1">
      <alignment horizontal="right" vertical="center" shrinkToFit="1"/>
    </xf>
    <xf numFmtId="169" fontId="5" fillId="10" borderId="7" xfId="12" applyNumberFormat="1" applyFont="1" applyFill="1" applyBorder="1" applyAlignment="1">
      <alignment horizontal="right" vertical="center" shrinkToFit="1"/>
    </xf>
    <xf numFmtId="169" fontId="7" fillId="2" borderId="1" xfId="12" applyNumberFormat="1" applyFont="1" applyFill="1" applyBorder="1" applyAlignment="1">
      <alignment horizontal="right" vertical="center" shrinkToFit="1"/>
    </xf>
    <xf numFmtId="169" fontId="7" fillId="7" borderId="47" xfId="12" applyNumberFormat="1" applyFont="1" applyFill="1" applyBorder="1" applyAlignment="1">
      <alignment horizontal="right" vertical="center" shrinkToFit="1"/>
    </xf>
    <xf numFmtId="169" fontId="18" fillId="0" borderId="0" xfId="12" applyNumberFormat="1" applyFont="1" applyFill="1" applyBorder="1" applyAlignment="1">
      <alignment horizontal="right" vertical="center" shrinkToFit="1"/>
    </xf>
    <xf numFmtId="0" fontId="10" fillId="0" borderId="0" xfId="0" applyFont="1" applyAlignment="1">
      <alignment horizontal="center" vertical="center" shrinkToFit="1"/>
    </xf>
    <xf numFmtId="37" fontId="5" fillId="0" borderId="7" xfId="0" applyNumberFormat="1" applyFont="1" applyBorder="1" applyAlignment="1">
      <alignment vertical="center" shrinkToFit="1"/>
    </xf>
    <xf numFmtId="0" fontId="5" fillId="0" borderId="0" xfId="0" applyFont="1" applyAlignment="1">
      <alignment vertical="center" shrinkToFit="1"/>
    </xf>
    <xf numFmtId="37" fontId="5" fillId="5" borderId="14" xfId="0" applyNumberFormat="1" applyFont="1" applyFill="1" applyBorder="1" applyAlignment="1">
      <alignment horizontal="right" vertical="center" shrinkToFit="1"/>
    </xf>
    <xf numFmtId="167" fontId="5" fillId="0" borderId="0" xfId="12" applyNumberFormat="1" applyFont="1" applyBorder="1" applyAlignment="1">
      <alignment horizontal="center" vertical="center" shrinkToFit="1"/>
    </xf>
    <xf numFmtId="0" fontId="13" fillId="0" borderId="0" xfId="0" applyFont="1" applyAlignment="1">
      <alignment vertical="center" shrinkToFit="1"/>
    </xf>
    <xf numFmtId="0" fontId="22" fillId="4" borderId="27" xfId="0" applyFont="1" applyFill="1" applyBorder="1" applyAlignment="1">
      <alignment horizontal="center" vertical="center" shrinkToFit="1"/>
    </xf>
    <xf numFmtId="0" fontId="13" fillId="0" borderId="21" xfId="0" applyFont="1" applyBorder="1" applyAlignment="1">
      <alignment vertical="center" shrinkToFit="1"/>
    </xf>
    <xf numFmtId="37" fontId="13" fillId="0" borderId="23" xfId="12" applyNumberFormat="1" applyFont="1" applyBorder="1" applyAlignment="1">
      <alignment horizontal="right" vertical="center" shrinkToFit="1"/>
    </xf>
    <xf numFmtId="0" fontId="13" fillId="0" borderId="28" xfId="0" applyFont="1" applyBorder="1" applyAlignment="1">
      <alignment vertical="center" shrinkToFit="1"/>
    </xf>
    <xf numFmtId="0" fontId="17" fillId="7" borderId="0" xfId="0" applyFont="1" applyFill="1" applyAlignment="1">
      <alignment vertical="center" shrinkToFit="1"/>
    </xf>
    <xf numFmtId="37" fontId="10" fillId="7" borderId="0" xfId="0" applyNumberFormat="1" applyFont="1" applyFill="1" applyAlignment="1">
      <alignment vertical="center" shrinkToFit="1"/>
    </xf>
    <xf numFmtId="37" fontId="11" fillId="7" borderId="0" xfId="0" applyNumberFormat="1" applyFont="1" applyFill="1" applyAlignment="1">
      <alignment vertical="center" shrinkToFit="1"/>
    </xf>
    <xf numFmtId="168" fontId="10" fillId="7" borderId="0" xfId="0" applyNumberFormat="1" applyFont="1" applyFill="1" applyAlignment="1">
      <alignment horizontal="center" vertical="center" shrinkToFit="1"/>
    </xf>
    <xf numFmtId="170" fontId="10" fillId="0" borderId="33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vertical="center" shrinkToFit="1"/>
    </xf>
    <xf numFmtId="169" fontId="6" fillId="0" borderId="0" xfId="12" applyNumberFormat="1" applyFont="1" applyBorder="1" applyAlignment="1">
      <alignment horizontal="right" vertical="center" shrinkToFit="1"/>
    </xf>
    <xf numFmtId="169" fontId="40" fillId="0" borderId="1" xfId="12" applyNumberFormat="1" applyFont="1" applyBorder="1" applyAlignment="1">
      <alignment horizontal="right" vertical="center" shrinkToFit="1"/>
    </xf>
    <xf numFmtId="172" fontId="22" fillId="0" borderId="33" xfId="8" applyNumberFormat="1" applyFont="1" applyFill="1" applyBorder="1" applyAlignment="1">
      <alignment horizontal="center" vertical="center" shrinkToFit="1"/>
    </xf>
    <xf numFmtId="166" fontId="0" fillId="0" borderId="1" xfId="12" applyFont="1" applyFill="1" applyBorder="1" applyAlignment="1">
      <alignment horizontal="right" vertical="center"/>
    </xf>
    <xf numFmtId="166" fontId="0" fillId="0" borderId="63" xfId="12" applyFont="1" applyFill="1" applyBorder="1" applyAlignment="1">
      <alignment horizontal="right" vertical="center"/>
    </xf>
    <xf numFmtId="166" fontId="20" fillId="10" borderId="77" xfId="12" applyFont="1" applyFill="1" applyBorder="1" applyAlignment="1">
      <alignment vertical="center"/>
    </xf>
    <xf numFmtId="166" fontId="5" fillId="0" borderId="23" xfId="12" applyFont="1" applyFill="1" applyBorder="1" applyAlignment="1">
      <alignment horizontal="right" vertical="center"/>
    </xf>
    <xf numFmtId="166" fontId="5" fillId="2" borderId="67" xfId="12" applyFont="1" applyFill="1" applyBorder="1" applyAlignment="1">
      <alignment horizontal="right" vertical="center"/>
    </xf>
    <xf numFmtId="166" fontId="6" fillId="7" borderId="82" xfId="12" applyFont="1" applyFill="1" applyBorder="1" applyAlignment="1">
      <alignment horizontal="right" vertical="center"/>
    </xf>
    <xf numFmtId="166" fontId="34" fillId="0" borderId="63" xfId="12" applyFont="1" applyFill="1" applyBorder="1" applyAlignment="1">
      <alignment horizontal="right" vertical="center"/>
    </xf>
    <xf numFmtId="166" fontId="5" fillId="3" borderId="83" xfId="12" applyFont="1" applyFill="1" applyBorder="1" applyAlignment="1">
      <alignment horizontal="right" vertical="center"/>
    </xf>
    <xf numFmtId="166" fontId="34" fillId="0" borderId="1" xfId="12" applyFont="1" applyFill="1" applyBorder="1" applyAlignment="1">
      <alignment vertical="center"/>
    </xf>
    <xf numFmtId="166" fontId="5" fillId="12" borderId="84" xfId="12" applyFont="1" applyFill="1" applyBorder="1" applyAlignment="1">
      <alignment horizontal="right" vertical="center"/>
    </xf>
    <xf numFmtId="16" fontId="21" fillId="6" borderId="85" xfId="0" applyNumberFormat="1" applyFont="1" applyFill="1" applyBorder="1" applyAlignment="1">
      <alignment horizontal="center" vertical="center"/>
    </xf>
    <xf numFmtId="169" fontId="13" fillId="8" borderId="86" xfId="12" applyNumberFormat="1" applyFont="1" applyFill="1" applyBorder="1" applyAlignment="1">
      <alignment horizontal="right" vertical="center"/>
    </xf>
    <xf numFmtId="166" fontId="5" fillId="0" borderId="87" xfId="12" applyFont="1" applyFill="1" applyBorder="1" applyAlignment="1">
      <alignment horizontal="right" vertical="center"/>
    </xf>
    <xf numFmtId="166" fontId="13" fillId="8" borderId="86" xfId="12" applyFont="1" applyFill="1" applyBorder="1" applyAlignment="1">
      <alignment horizontal="right" vertical="center"/>
    </xf>
    <xf numFmtId="166" fontId="5" fillId="0" borderId="88" xfId="12" applyFont="1" applyFill="1" applyBorder="1" applyAlignment="1">
      <alignment horizontal="right" vertical="center"/>
    </xf>
    <xf numFmtId="166" fontId="5" fillId="0" borderId="88" xfId="12" applyFont="1" applyBorder="1" applyAlignment="1">
      <alignment horizontal="right" vertical="center"/>
    </xf>
    <xf numFmtId="166" fontId="13" fillId="8" borderId="87" xfId="12" applyFont="1" applyFill="1" applyBorder="1" applyAlignment="1">
      <alignment horizontal="right" vertical="center"/>
    </xf>
    <xf numFmtId="166" fontId="5" fillId="0" borderId="89" xfId="12" applyFont="1" applyFill="1" applyBorder="1" applyAlignment="1">
      <alignment horizontal="right" vertical="center"/>
    </xf>
    <xf numFmtId="166" fontId="5" fillId="10" borderId="86" xfId="12" applyFont="1" applyFill="1" applyBorder="1" applyAlignment="1">
      <alignment horizontal="right" vertical="center"/>
    </xf>
    <xf numFmtId="166" fontId="13" fillId="2" borderId="87" xfId="12" applyFont="1" applyFill="1" applyBorder="1" applyAlignment="1">
      <alignment horizontal="right" vertical="center"/>
    </xf>
    <xf numFmtId="166" fontId="17" fillId="0" borderId="88" xfId="12" applyFont="1" applyFill="1" applyBorder="1" applyAlignment="1">
      <alignment horizontal="right" vertical="center"/>
    </xf>
    <xf numFmtId="16" fontId="21" fillId="0" borderId="88" xfId="12" applyNumberFormat="1" applyFont="1" applyBorder="1" applyAlignment="1">
      <alignment horizontal="center" vertical="center"/>
    </xf>
    <xf numFmtId="166" fontId="13" fillId="3" borderId="91" xfId="0" applyNumberFormat="1" applyFont="1" applyFill="1" applyBorder="1" applyAlignment="1">
      <alignment horizontal="right" vertical="center"/>
    </xf>
    <xf numFmtId="166" fontId="5" fillId="0" borderId="87" xfId="12" applyFont="1" applyBorder="1" applyAlignment="1">
      <alignment horizontal="right" vertical="center"/>
    </xf>
    <xf numFmtId="166" fontId="5" fillId="3" borderId="92" xfId="12" applyFont="1" applyFill="1" applyBorder="1" applyAlignment="1">
      <alignment horizontal="right" vertical="center"/>
    </xf>
    <xf numFmtId="166" fontId="5" fillId="0" borderId="86" xfId="12" applyFont="1" applyBorder="1" applyAlignment="1">
      <alignment horizontal="right" vertical="center"/>
    </xf>
    <xf numFmtId="166" fontId="5" fillId="3" borderId="93" xfId="12" applyFont="1" applyFill="1" applyBorder="1" applyAlignment="1">
      <alignment horizontal="right" vertical="center"/>
    </xf>
    <xf numFmtId="166" fontId="34" fillId="12" borderId="94" xfId="12" applyFont="1" applyFill="1" applyBorder="1" applyAlignment="1">
      <alignment horizontal="right" vertical="center"/>
    </xf>
    <xf numFmtId="166" fontId="5" fillId="0" borderId="95" xfId="12" applyFont="1" applyFill="1" applyBorder="1" applyAlignment="1">
      <alignment horizontal="right" vertical="center"/>
    </xf>
    <xf numFmtId="166" fontId="0" fillId="0" borderId="66" xfId="12" applyFont="1" applyFill="1" applyBorder="1" applyAlignment="1">
      <alignment horizontal="right" vertical="center"/>
    </xf>
    <xf numFmtId="166" fontId="0" fillId="0" borderId="96" xfId="12" applyFont="1" applyFill="1" applyBorder="1" applyAlignment="1">
      <alignment vertical="center"/>
    </xf>
    <xf numFmtId="166" fontId="0" fillId="0" borderId="66" xfId="12" applyFont="1" applyFill="1" applyBorder="1" applyAlignment="1">
      <alignment vertical="center"/>
    </xf>
    <xf numFmtId="166" fontId="5" fillId="0" borderId="22" xfId="12" applyFont="1" applyBorder="1" applyAlignment="1">
      <alignment horizontal="right" vertical="center"/>
    </xf>
    <xf numFmtId="166" fontId="0" fillId="2" borderId="66" xfId="12" applyFont="1" applyFill="1" applyBorder="1" applyAlignment="1">
      <alignment horizontal="right" vertical="center"/>
    </xf>
    <xf numFmtId="166" fontId="0" fillId="3" borderId="58" xfId="12" applyFont="1" applyFill="1" applyBorder="1" applyAlignment="1">
      <alignment horizontal="right" vertical="center"/>
    </xf>
    <xf numFmtId="166" fontId="0" fillId="0" borderId="70" xfId="12" applyFont="1" applyFill="1" applyBorder="1" applyAlignment="1">
      <alignment horizontal="right" vertical="center"/>
    </xf>
    <xf numFmtId="166" fontId="0" fillId="3" borderId="5" xfId="12" applyFont="1" applyFill="1" applyBorder="1" applyAlignment="1">
      <alignment horizontal="right" vertical="center"/>
    </xf>
    <xf numFmtId="0" fontId="6" fillId="8" borderId="13" xfId="0" applyFont="1" applyFill="1" applyBorder="1" applyAlignment="1">
      <alignment vertical="center"/>
    </xf>
    <xf numFmtId="0" fontId="10" fillId="3" borderId="14" xfId="0" applyFont="1" applyFill="1" applyBorder="1" applyAlignment="1">
      <alignment vertical="center"/>
    </xf>
    <xf numFmtId="166" fontId="10" fillId="3" borderId="14" xfId="12" applyFont="1" applyFill="1" applyBorder="1" applyAlignment="1">
      <alignment vertical="center"/>
    </xf>
    <xf numFmtId="0" fontId="10" fillId="3" borderId="14" xfId="0" applyFont="1" applyFill="1" applyBorder="1" applyAlignment="1">
      <alignment vertical="center" shrinkToFit="1"/>
    </xf>
    <xf numFmtId="0" fontId="10" fillId="0" borderId="1" xfId="0" applyFont="1" applyBorder="1" applyAlignment="1">
      <alignment horizontal="left" vertical="center"/>
    </xf>
    <xf numFmtId="0" fontId="15" fillId="3" borderId="16" xfId="0" applyFont="1" applyFill="1" applyBorder="1" applyAlignment="1">
      <alignment horizontal="left" vertical="center"/>
    </xf>
    <xf numFmtId="0" fontId="10" fillId="3" borderId="16" xfId="0" applyFont="1" applyFill="1" applyBorder="1" applyAlignment="1">
      <alignment vertical="center"/>
    </xf>
    <xf numFmtId="166" fontId="10" fillId="3" borderId="16" xfId="12" applyFont="1" applyFill="1" applyBorder="1" applyAlignment="1">
      <alignment vertical="center"/>
    </xf>
    <xf numFmtId="0" fontId="10" fillId="3" borderId="16" xfId="0" applyFont="1" applyFill="1" applyBorder="1" applyAlignment="1">
      <alignment vertical="center" shrinkToFit="1"/>
    </xf>
    <xf numFmtId="0" fontId="10" fillId="0" borderId="7" xfId="0" applyFont="1" applyBorder="1" applyAlignment="1">
      <alignment horizontal="left" vertical="center"/>
    </xf>
    <xf numFmtId="166" fontId="10" fillId="0" borderId="7" xfId="12" applyFont="1" applyBorder="1" applyAlignment="1">
      <alignment vertical="center"/>
    </xf>
    <xf numFmtId="37" fontId="10" fillId="0" borderId="7" xfId="0" applyNumberFormat="1" applyFont="1" applyBorder="1" applyAlignment="1">
      <alignment vertical="center" shrinkToFit="1"/>
    </xf>
    <xf numFmtId="0" fontId="23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72" fontId="10" fillId="0" borderId="1" xfId="0" applyNumberFormat="1" applyFont="1" applyBorder="1" applyAlignment="1">
      <alignment vertical="center"/>
    </xf>
    <xf numFmtId="169" fontId="10" fillId="0" borderId="1" xfId="12" applyNumberFormat="1" applyFont="1" applyBorder="1" applyAlignment="1">
      <alignment horizontal="right" vertical="center" shrinkToFit="1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166" fontId="10" fillId="7" borderId="1" xfId="12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left" vertical="center"/>
    </xf>
    <xf numFmtId="166" fontId="10" fillId="3" borderId="5" xfId="12" applyFont="1" applyFill="1" applyBorder="1" applyAlignment="1">
      <alignment vertical="center"/>
    </xf>
    <xf numFmtId="0" fontId="10" fillId="7" borderId="0" xfId="0" applyFont="1" applyFill="1" applyAlignment="1">
      <alignment horizontal="left" vertical="center"/>
    </xf>
    <xf numFmtId="169" fontId="42" fillId="0" borderId="0" xfId="12" applyNumberFormat="1" applyFont="1" applyBorder="1" applyAlignment="1">
      <alignment horizontal="right" vertical="center" shrinkToFit="1"/>
    </xf>
    <xf numFmtId="0" fontId="10" fillId="12" borderId="51" xfId="0" applyFont="1" applyFill="1" applyBorder="1" applyAlignment="1">
      <alignment vertical="center"/>
    </xf>
    <xf numFmtId="0" fontId="43" fillId="7" borderId="7" xfId="0" applyFont="1" applyFill="1" applyBorder="1" applyAlignment="1">
      <alignment horizontal="left" vertical="center"/>
    </xf>
    <xf numFmtId="37" fontId="42" fillId="0" borderId="1" xfId="0" applyNumberFormat="1" applyFont="1" applyBorder="1" applyAlignment="1">
      <alignment vertical="center" shrinkToFit="1"/>
    </xf>
    <xf numFmtId="0" fontId="5" fillId="0" borderId="11" xfId="0" applyFont="1" applyBorder="1" applyAlignment="1">
      <alignment vertical="center"/>
    </xf>
    <xf numFmtId="169" fontId="5" fillId="6" borderId="25" xfId="12" applyNumberFormat="1" applyFont="1" applyFill="1" applyBorder="1" applyAlignment="1">
      <alignment horizontal="left" vertical="center"/>
    </xf>
    <xf numFmtId="16" fontId="5" fillId="0" borderId="0" xfId="0" applyNumberFormat="1" applyFont="1" applyAlignment="1">
      <alignment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vertical="center"/>
    </xf>
    <xf numFmtId="0" fontId="5" fillId="0" borderId="22" xfId="0" applyFont="1" applyBorder="1" applyAlignment="1">
      <alignment horizontal="left" vertical="center"/>
    </xf>
    <xf numFmtId="16" fontId="5" fillId="0" borderId="0" xfId="0" applyNumberFormat="1" applyFont="1" applyAlignment="1">
      <alignment horizontal="left" vertical="center"/>
    </xf>
    <xf numFmtId="172" fontId="5" fillId="0" borderId="23" xfId="8" applyNumberFormat="1" applyFont="1" applyBorder="1" applyAlignment="1">
      <alignment horizontal="right" vertical="center" shrinkToFit="1"/>
    </xf>
    <xf numFmtId="172" fontId="5" fillId="0" borderId="23" xfId="12" applyNumberFormat="1" applyFont="1" applyBorder="1" applyAlignment="1">
      <alignment horizontal="right" vertical="center" shrinkToFit="1"/>
    </xf>
    <xf numFmtId="172" fontId="21" fillId="2" borderId="36" xfId="12" applyNumberFormat="1" applyFont="1" applyFill="1" applyBorder="1" applyAlignment="1">
      <alignment horizontal="right" vertical="center" shrinkToFit="1"/>
    </xf>
    <xf numFmtId="166" fontId="5" fillId="6" borderId="30" xfId="12" applyFont="1" applyFill="1" applyBorder="1" applyAlignment="1">
      <alignment horizontal="right" vertical="center"/>
    </xf>
    <xf numFmtId="166" fontId="5" fillId="2" borderId="30" xfId="12" quotePrefix="1" applyFont="1" applyFill="1" applyBorder="1" applyAlignment="1">
      <alignment horizontal="right" vertical="center"/>
    </xf>
    <xf numFmtId="0" fontId="9" fillId="14" borderId="9" xfId="0" applyFont="1" applyFill="1" applyBorder="1" applyAlignment="1">
      <alignment vertical="center"/>
    </xf>
    <xf numFmtId="0" fontId="15" fillId="14" borderId="1" xfId="0" applyFont="1" applyFill="1" applyBorder="1" applyAlignment="1">
      <alignment horizontal="left" vertical="center"/>
    </xf>
    <xf numFmtId="0" fontId="12" fillId="14" borderId="1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vertical="center"/>
    </xf>
    <xf numFmtId="166" fontId="9" fillId="14" borderId="1" xfId="12" applyFont="1" applyFill="1" applyBorder="1" applyAlignment="1">
      <alignment vertical="center"/>
    </xf>
    <xf numFmtId="166" fontId="13" fillId="14" borderId="87" xfId="12" applyFont="1" applyFill="1" applyBorder="1" applyAlignment="1">
      <alignment horizontal="right" vertical="center"/>
    </xf>
    <xf numFmtId="166" fontId="21" fillId="14" borderId="1" xfId="12" applyFont="1" applyFill="1" applyBorder="1" applyAlignment="1">
      <alignment horizontal="right" vertical="center"/>
    </xf>
    <xf numFmtId="166" fontId="21" fillId="14" borderId="9" xfId="12" applyFont="1" applyFill="1" applyBorder="1" applyAlignment="1">
      <alignment horizontal="right" vertical="center"/>
    </xf>
    <xf numFmtId="0" fontId="43" fillId="12" borderId="51" xfId="0" applyFont="1" applyFill="1" applyBorder="1" applyAlignment="1">
      <alignment vertical="center"/>
    </xf>
    <xf numFmtId="176" fontId="25" fillId="0" borderId="3" xfId="12" applyNumberFormat="1" applyFont="1" applyFill="1" applyBorder="1" applyAlignment="1">
      <alignment horizontal="right" vertical="center"/>
    </xf>
    <xf numFmtId="166" fontId="13" fillId="0" borderId="0" xfId="12" applyFont="1" applyBorder="1" applyAlignment="1">
      <alignment vertical="center"/>
    </xf>
    <xf numFmtId="166" fontId="5" fillId="0" borderId="72" xfId="12" applyFont="1" applyFill="1" applyBorder="1" applyAlignment="1">
      <alignment horizontal="right" vertical="center"/>
    </xf>
    <xf numFmtId="175" fontId="5" fillId="0" borderId="0" xfId="12" applyNumberFormat="1" applyFont="1" applyBorder="1" applyAlignment="1">
      <alignment horizontal="center" vertical="center"/>
    </xf>
    <xf numFmtId="166" fontId="0" fillId="0" borderId="0" xfId="12" applyFont="1" applyFill="1" applyBorder="1" applyAlignment="1">
      <alignment horizontal="right" vertical="center"/>
    </xf>
    <xf numFmtId="166" fontId="5" fillId="0" borderId="97" xfId="12" applyFont="1" applyFill="1" applyBorder="1" applyAlignment="1">
      <alignment horizontal="right" vertical="center"/>
    </xf>
    <xf numFmtId="43" fontId="5" fillId="0" borderId="66" xfId="12" applyNumberFormat="1" applyFont="1" applyFill="1" applyBorder="1" applyAlignment="1">
      <alignment horizontal="right" vertical="center"/>
    </xf>
    <xf numFmtId="166" fontId="34" fillId="0" borderId="7" xfId="12" applyFont="1" applyFill="1" applyBorder="1" applyAlignment="1">
      <alignment horizontal="right" vertical="center"/>
    </xf>
    <xf numFmtId="166" fontId="34" fillId="0" borderId="98" xfId="12" applyFont="1" applyFill="1" applyBorder="1" applyAlignment="1">
      <alignment horizontal="right" vertical="center"/>
    </xf>
    <xf numFmtId="166" fontId="5" fillId="0" borderId="55" xfId="12" applyFont="1" applyFill="1" applyBorder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/>
    </xf>
    <xf numFmtId="166" fontId="34" fillId="0" borderId="70" xfId="12" applyFont="1" applyFill="1" applyBorder="1" applyAlignment="1">
      <alignment horizontal="right" vertical="center"/>
    </xf>
    <xf numFmtId="166" fontId="34" fillId="0" borderId="72" xfId="12" applyFont="1" applyFill="1" applyBorder="1" applyAlignment="1">
      <alignment horizontal="right" vertical="center"/>
    </xf>
    <xf numFmtId="166" fontId="5" fillId="0" borderId="86" xfId="12" applyFont="1" applyFill="1" applyBorder="1" applyAlignment="1">
      <alignment horizontal="right" vertical="center"/>
    </xf>
    <xf numFmtId="169" fontId="5" fillId="9" borderId="78" xfId="12" applyNumberFormat="1" applyFont="1" applyFill="1" applyBorder="1" applyAlignment="1">
      <alignment horizontal="left" vertical="center"/>
    </xf>
    <xf numFmtId="169" fontId="5" fillId="9" borderId="78" xfId="12" applyNumberFormat="1" applyFont="1" applyFill="1" applyBorder="1" applyAlignment="1">
      <alignment horizontal="right" vertical="center"/>
    </xf>
    <xf numFmtId="166" fontId="5" fillId="9" borderId="99" xfId="12" applyFont="1" applyFill="1" applyBorder="1" applyAlignment="1">
      <alignment horizontal="right" vertical="center"/>
    </xf>
    <xf numFmtId="166" fontId="36" fillId="0" borderId="103" xfId="12" applyFont="1" applyFill="1" applyBorder="1" applyAlignment="1">
      <alignment horizontal="right" vertical="center"/>
    </xf>
    <xf numFmtId="169" fontId="21" fillId="0" borderId="105" xfId="0" applyNumberFormat="1" applyFont="1" applyBorder="1" applyAlignment="1">
      <alignment horizontal="left" vertical="center"/>
    </xf>
    <xf numFmtId="169" fontId="21" fillId="0" borderId="106" xfId="0" applyNumberFormat="1" applyFont="1" applyBorder="1" applyAlignment="1">
      <alignment horizontal="left" vertical="center"/>
    </xf>
    <xf numFmtId="169" fontId="21" fillId="0" borderId="107" xfId="0" applyNumberFormat="1" applyFont="1" applyBorder="1" applyAlignment="1">
      <alignment horizontal="left" vertical="center"/>
    </xf>
    <xf numFmtId="0" fontId="5" fillId="7" borderId="108" xfId="0" applyFont="1" applyFill="1" applyBorder="1" applyAlignment="1">
      <alignment horizontal="left" vertical="center"/>
    </xf>
    <xf numFmtId="0" fontId="5" fillId="7" borderId="109" xfId="0" applyFont="1" applyFill="1" applyBorder="1" applyAlignment="1">
      <alignment horizontal="left" vertical="center"/>
    </xf>
    <xf numFmtId="0" fontId="5" fillId="7" borderId="110" xfId="0" applyFont="1" applyFill="1" applyBorder="1" applyAlignment="1">
      <alignment horizontal="left" vertical="center"/>
    </xf>
    <xf numFmtId="169" fontId="44" fillId="16" borderId="102" xfId="12" applyNumberFormat="1" applyFont="1" applyFill="1" applyBorder="1" applyAlignment="1">
      <alignment vertical="center"/>
    </xf>
    <xf numFmtId="169" fontId="44" fillId="16" borderId="101" xfId="12" applyNumberFormat="1" applyFont="1" applyFill="1" applyBorder="1" applyAlignment="1">
      <alignment vertical="center"/>
    </xf>
    <xf numFmtId="169" fontId="44" fillId="16" borderId="111" xfId="12" applyNumberFormat="1" applyFont="1" applyFill="1" applyBorder="1" applyAlignment="1">
      <alignment horizontal="center" vertical="center"/>
    </xf>
    <xf numFmtId="169" fontId="44" fillId="16" borderId="111" xfId="0" applyNumberFormat="1" applyFont="1" applyFill="1" applyBorder="1" applyAlignment="1">
      <alignment horizontal="left" vertical="center"/>
    </xf>
    <xf numFmtId="169" fontId="44" fillId="16" borderId="102" xfId="12" applyNumberFormat="1" applyFont="1" applyFill="1" applyBorder="1" applyAlignment="1">
      <alignment horizontal="right" vertical="center"/>
    </xf>
    <xf numFmtId="0" fontId="10" fillId="12" borderId="51" xfId="0" applyFont="1" applyFill="1" applyBorder="1" applyAlignment="1">
      <alignment horizontal="center" vertical="center"/>
    </xf>
    <xf numFmtId="166" fontId="22" fillId="8" borderId="86" xfId="12" applyFont="1" applyFill="1" applyBorder="1" applyAlignment="1">
      <alignment horizontal="right" vertical="center"/>
    </xf>
    <xf numFmtId="166" fontId="13" fillId="0" borderId="0" xfId="12" applyFont="1" applyFill="1" applyBorder="1" applyAlignment="1">
      <alignment vertical="center"/>
    </xf>
    <xf numFmtId="166" fontId="21" fillId="0" borderId="87" xfId="12" applyFont="1" applyFill="1" applyBorder="1" applyAlignment="1">
      <alignment horizontal="right" vertical="center"/>
    </xf>
    <xf numFmtId="166" fontId="21" fillId="0" borderId="67" xfId="12" applyFont="1" applyFill="1" applyBorder="1" applyAlignment="1">
      <alignment horizontal="right" vertical="center"/>
    </xf>
    <xf numFmtId="166" fontId="21" fillId="0" borderId="66" xfId="12" applyFont="1" applyFill="1" applyBorder="1" applyAlignment="1">
      <alignment horizontal="right" vertical="center"/>
    </xf>
    <xf numFmtId="166" fontId="21" fillId="0" borderId="39" xfId="12" applyFont="1" applyFill="1" applyBorder="1" applyAlignment="1">
      <alignment horizontal="right" vertical="center"/>
    </xf>
    <xf numFmtId="166" fontId="21" fillId="0" borderId="53" xfId="12" applyFont="1" applyFill="1" applyBorder="1" applyAlignment="1">
      <alignment horizontal="right" vertical="center"/>
    </xf>
    <xf numFmtId="0" fontId="21" fillId="0" borderId="8" xfId="0" applyFont="1" applyBorder="1" applyAlignment="1">
      <alignment vertical="center"/>
    </xf>
    <xf numFmtId="166" fontId="22" fillId="0" borderId="1" xfId="12" applyFont="1" applyFill="1" applyBorder="1" applyAlignment="1">
      <alignment vertical="center"/>
    </xf>
    <xf numFmtId="0" fontId="46" fillId="0" borderId="0" xfId="0" applyFont="1" applyAlignment="1">
      <alignment vertical="center"/>
    </xf>
    <xf numFmtId="166" fontId="23" fillId="8" borderId="1" xfId="12" applyFont="1" applyFill="1" applyBorder="1" applyAlignment="1">
      <alignment vertical="center"/>
    </xf>
    <xf numFmtId="169" fontId="22" fillId="8" borderId="7" xfId="12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left" vertical="center"/>
    </xf>
    <xf numFmtId="166" fontId="45" fillId="0" borderId="1" xfId="12" applyFont="1" applyFill="1" applyBorder="1" applyAlignment="1">
      <alignment vertical="center"/>
    </xf>
    <xf numFmtId="166" fontId="5" fillId="0" borderId="11" xfId="12" applyFont="1" applyBorder="1" applyAlignment="1">
      <alignment horizontal="left" vertical="center"/>
    </xf>
    <xf numFmtId="166" fontId="10" fillId="0" borderId="0" xfId="12" applyFont="1" applyAlignment="1">
      <alignment horizontal="left" vertical="center"/>
    </xf>
    <xf numFmtId="166" fontId="10" fillId="0" borderId="7" xfId="12" applyFont="1" applyBorder="1" applyAlignment="1">
      <alignment horizontal="left" vertical="center"/>
    </xf>
    <xf numFmtId="166" fontId="10" fillId="0" borderId="7" xfId="12" applyFont="1" applyBorder="1" applyAlignment="1">
      <alignment vertical="center" shrinkToFit="1"/>
    </xf>
    <xf numFmtId="175" fontId="39" fillId="0" borderId="0" xfId="12" applyNumberFormat="1" applyFont="1" applyFill="1" applyBorder="1" applyAlignment="1">
      <alignment horizontal="right" vertical="center" shrinkToFit="1"/>
    </xf>
    <xf numFmtId="166" fontId="21" fillId="0" borderId="113" xfId="12" applyFont="1" applyFill="1" applyBorder="1" applyAlignment="1">
      <alignment horizontal="right" vertical="center"/>
    </xf>
    <xf numFmtId="166" fontId="13" fillId="0" borderId="1" xfId="12" applyFont="1" applyFill="1" applyBorder="1" applyAlignment="1">
      <alignment vertical="center"/>
    </xf>
    <xf numFmtId="166" fontId="10" fillId="0" borderId="7" xfId="12" applyFont="1" applyFill="1" applyBorder="1" applyAlignment="1">
      <alignment vertical="center"/>
    </xf>
    <xf numFmtId="166" fontId="5" fillId="0" borderId="98" xfId="12" applyFont="1" applyFill="1" applyBorder="1" applyAlignment="1">
      <alignment horizontal="right" vertical="center"/>
    </xf>
    <xf numFmtId="166" fontId="5" fillId="0" borderId="1" xfId="12" applyFont="1" applyFill="1" applyBorder="1" applyAlignment="1">
      <alignment vertical="center"/>
    </xf>
    <xf numFmtId="174" fontId="5" fillId="0" borderId="0" xfId="18" applyNumberFormat="1" applyFont="1" applyFill="1" applyBorder="1" applyAlignment="1">
      <alignment vertical="center"/>
    </xf>
    <xf numFmtId="0" fontId="21" fillId="0" borderId="24" xfId="0" applyFont="1" applyBorder="1" applyAlignment="1">
      <alignment horizontal="left" vertical="center"/>
    </xf>
    <xf numFmtId="0" fontId="21" fillId="7" borderId="24" xfId="0" applyFont="1" applyFill="1" applyBorder="1" applyAlignment="1">
      <alignment vertical="center"/>
    </xf>
    <xf numFmtId="169" fontId="13" fillId="0" borderId="1" xfId="12" applyNumberFormat="1" applyFont="1" applyFill="1" applyBorder="1" applyAlignment="1">
      <alignment horizontal="right" vertical="center" shrinkToFit="1"/>
    </xf>
    <xf numFmtId="0" fontId="5" fillId="0" borderId="1" xfId="0" applyFont="1" applyBorder="1" applyAlignment="1">
      <alignment vertical="center" wrapText="1"/>
    </xf>
    <xf numFmtId="166" fontId="21" fillId="8" borderId="1" xfId="12" applyFont="1" applyFill="1" applyBorder="1" applyAlignment="1">
      <alignment vertical="center"/>
    </xf>
    <xf numFmtId="0" fontId="32" fillId="0" borderId="8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47" fillId="0" borderId="0" xfId="0" applyFont="1" applyAlignment="1">
      <alignment horizontal="center" vertical="center"/>
    </xf>
    <xf numFmtId="169" fontId="10" fillId="0" borderId="1" xfId="12" applyNumberFormat="1" applyFont="1" applyFill="1" applyBorder="1" applyAlignment="1">
      <alignment horizontal="right" vertical="center" shrinkToFit="1"/>
    </xf>
    <xf numFmtId="0" fontId="0" fillId="0" borderId="0" xfId="0" applyAlignment="1">
      <alignment horizontal="left" vertical="center"/>
    </xf>
    <xf numFmtId="166" fontId="5" fillId="0" borderId="0" xfId="12" applyFont="1" applyFill="1" applyBorder="1" applyAlignment="1">
      <alignment vertical="center"/>
    </xf>
    <xf numFmtId="171" fontId="5" fillId="0" borderId="0" xfId="12" applyNumberFormat="1" applyFont="1" applyFill="1" applyBorder="1" applyAlignment="1">
      <alignment horizontal="center" vertical="center" shrinkToFit="1"/>
    </xf>
    <xf numFmtId="171" fontId="5" fillId="0" borderId="0" xfId="12" applyNumberFormat="1" applyFont="1" applyFill="1" applyBorder="1" applyAlignment="1">
      <alignment horizontal="center" vertical="center"/>
    </xf>
    <xf numFmtId="166" fontId="5" fillId="0" borderId="0" xfId="12" applyFont="1" applyFill="1" applyBorder="1" applyAlignment="1">
      <alignment horizontal="right" vertical="center"/>
    </xf>
    <xf numFmtId="0" fontId="10" fillId="0" borderId="8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37" fontId="10" fillId="0" borderId="0" xfId="0" applyNumberFormat="1" applyFont="1" applyAlignment="1">
      <alignment vertical="center"/>
    </xf>
    <xf numFmtId="166" fontId="35" fillId="0" borderId="0" xfId="12" applyFont="1" applyFill="1"/>
    <xf numFmtId="37" fontId="11" fillId="0" borderId="0" xfId="0" applyNumberFormat="1" applyFont="1" applyAlignment="1">
      <alignment vertical="center" shrinkToFit="1"/>
    </xf>
    <xf numFmtId="0" fontId="11" fillId="0" borderId="43" xfId="0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37" fontId="5" fillId="0" borderId="0" xfId="0" applyNumberFormat="1" applyFont="1" applyAlignment="1">
      <alignment horizontal="left" vertical="center"/>
    </xf>
    <xf numFmtId="37" fontId="5" fillId="0" borderId="0" xfId="0" applyNumberFormat="1" applyFont="1" applyAlignment="1">
      <alignment horizontal="right" vertical="center"/>
    </xf>
    <xf numFmtId="37" fontId="0" fillId="0" borderId="0" xfId="0" applyNumberFormat="1" applyAlignment="1">
      <alignment horizontal="right" vertical="center"/>
    </xf>
    <xf numFmtId="169" fontId="5" fillId="0" borderId="0" xfId="12" applyNumberFormat="1" applyFont="1" applyFill="1" applyBorder="1" applyAlignment="1">
      <alignment vertical="center"/>
    </xf>
    <xf numFmtId="166" fontId="5" fillId="0" borderId="81" xfId="12" applyFont="1" applyFill="1" applyBorder="1" applyAlignment="1">
      <alignment horizontal="right" vertical="center"/>
    </xf>
    <xf numFmtId="166" fontId="5" fillId="0" borderId="56" xfId="12" applyFont="1" applyFill="1" applyBorder="1" applyAlignment="1">
      <alignment horizontal="right" vertical="center"/>
    </xf>
    <xf numFmtId="166" fontId="5" fillId="0" borderId="69" xfId="12" applyFont="1" applyFill="1" applyBorder="1" applyAlignment="1">
      <alignment horizontal="right" vertical="center"/>
    </xf>
    <xf numFmtId="166" fontId="5" fillId="0" borderId="56" xfId="12" applyFont="1" applyFill="1" applyBorder="1" applyAlignment="1">
      <alignment vertical="center"/>
    </xf>
    <xf numFmtId="166" fontId="5" fillId="0" borderId="69" xfId="12" applyFont="1" applyFill="1" applyBorder="1" applyAlignment="1">
      <alignment vertical="center"/>
    </xf>
    <xf numFmtId="172" fontId="22" fillId="0" borderId="33" xfId="8" applyNumberFormat="1" applyFont="1" applyFill="1" applyBorder="1" applyAlignment="1">
      <alignment horizontal="center" vertical="center"/>
    </xf>
    <xf numFmtId="166" fontId="5" fillId="0" borderId="40" xfId="12" applyFont="1" applyFill="1" applyBorder="1" applyAlignment="1">
      <alignment horizontal="right" vertical="center"/>
    </xf>
    <xf numFmtId="0" fontId="48" fillId="0" borderId="0" xfId="0" applyFont="1" applyAlignment="1">
      <alignment vertical="center"/>
    </xf>
    <xf numFmtId="174" fontId="32" fillId="0" borderId="0" xfId="18" applyNumberFormat="1" applyFont="1" applyFill="1" applyBorder="1" applyAlignment="1">
      <alignment vertical="center"/>
    </xf>
    <xf numFmtId="0" fontId="49" fillId="0" borderId="0" xfId="0" applyFont="1" applyAlignment="1">
      <alignment vertical="center"/>
    </xf>
    <xf numFmtId="174" fontId="32" fillId="0" borderId="0" xfId="18" applyNumberFormat="1" applyFont="1" applyBorder="1" applyAlignment="1">
      <alignment vertical="center"/>
    </xf>
    <xf numFmtId="2" fontId="49" fillId="0" borderId="0" xfId="0" applyNumberFormat="1" applyFont="1" applyAlignment="1">
      <alignment vertical="center"/>
    </xf>
    <xf numFmtId="0" fontId="50" fillId="0" borderId="0" xfId="0" applyFont="1" applyAlignment="1">
      <alignment vertical="center"/>
    </xf>
    <xf numFmtId="166" fontId="32" fillId="0" borderId="0" xfId="12" applyFont="1" applyBorder="1" applyAlignment="1">
      <alignment vertical="center"/>
    </xf>
    <xf numFmtId="0" fontId="48" fillId="7" borderId="0" xfId="0" applyFont="1" applyFill="1" applyAlignment="1">
      <alignment vertical="center"/>
    </xf>
    <xf numFmtId="169" fontId="48" fillId="0" borderId="0" xfId="12" applyNumberFormat="1" applyFont="1" applyBorder="1" applyAlignment="1">
      <alignment horizontal="right" vertical="center"/>
    </xf>
    <xf numFmtId="167" fontId="5" fillId="0" borderId="0" xfId="12" applyNumberFormat="1" applyFont="1" applyFill="1" applyBorder="1" applyAlignment="1">
      <alignment horizontal="center" vertical="center" shrinkToFit="1"/>
    </xf>
    <xf numFmtId="175" fontId="44" fillId="0" borderId="0" xfId="12" applyNumberFormat="1" applyFont="1" applyFill="1" applyBorder="1" applyAlignment="1">
      <alignment horizontal="center" vertical="center"/>
    </xf>
    <xf numFmtId="166" fontId="5" fillId="0" borderId="61" xfId="12" applyFont="1" applyFill="1" applyBorder="1" applyAlignment="1">
      <alignment horizontal="right" vertical="center"/>
    </xf>
    <xf numFmtId="166" fontId="21" fillId="0" borderId="0" xfId="8" applyNumberFormat="1" applyFont="1" applyFill="1" applyBorder="1" applyAlignment="1">
      <alignment horizontal="right" vertical="center"/>
    </xf>
    <xf numFmtId="169" fontId="40" fillId="0" borderId="1" xfId="12" applyNumberFormat="1" applyFont="1" applyFill="1" applyBorder="1" applyAlignment="1">
      <alignment horizontal="right" vertical="center" shrinkToFit="1"/>
    </xf>
    <xf numFmtId="39" fontId="21" fillId="8" borderId="86" xfId="12" applyNumberFormat="1" applyFont="1" applyFill="1" applyBorder="1" applyAlignment="1">
      <alignment horizontal="right" vertical="center"/>
    </xf>
    <xf numFmtId="43" fontId="21" fillId="0" borderId="90" xfId="12" applyNumberFormat="1" applyFont="1" applyFill="1" applyBorder="1" applyAlignment="1">
      <alignment horizontal="right" vertical="center"/>
    </xf>
    <xf numFmtId="166" fontId="51" fillId="3" borderId="14" xfId="12" applyFont="1" applyFill="1" applyBorder="1" applyAlignment="1">
      <alignment horizontal="center" vertical="center"/>
    </xf>
    <xf numFmtId="166" fontId="51" fillId="3" borderId="14" xfId="0" applyNumberFormat="1" applyFont="1" applyFill="1" applyBorder="1" applyAlignment="1">
      <alignment horizontal="center" vertical="center"/>
    </xf>
    <xf numFmtId="166" fontId="52" fillId="3" borderId="14" xfId="0" applyNumberFormat="1" applyFont="1" applyFill="1" applyBorder="1" applyAlignment="1">
      <alignment horizontal="center" vertical="center"/>
    </xf>
    <xf numFmtId="166" fontId="53" fillId="8" borderId="1" xfId="12" applyFont="1" applyFill="1" applyBorder="1" applyAlignment="1">
      <alignment horizontal="center" vertical="center"/>
    </xf>
    <xf numFmtId="166" fontId="53" fillId="8" borderId="53" xfId="12" applyFont="1" applyFill="1" applyBorder="1" applyAlignment="1">
      <alignment horizontal="center" vertical="center"/>
    </xf>
    <xf numFmtId="166" fontId="53" fillId="8" borderId="72" xfId="12" applyFont="1" applyFill="1" applyBorder="1" applyAlignment="1">
      <alignment horizontal="center" vertical="center"/>
    </xf>
    <xf numFmtId="166" fontId="52" fillId="8" borderId="1" xfId="12" applyFont="1" applyFill="1" applyBorder="1" applyAlignment="1">
      <alignment horizontal="center" vertical="center"/>
    </xf>
    <xf numFmtId="166" fontId="52" fillId="8" borderId="53" xfId="12" applyFont="1" applyFill="1" applyBorder="1" applyAlignment="1">
      <alignment horizontal="center" vertical="center"/>
    </xf>
    <xf numFmtId="166" fontId="52" fillId="8" borderId="72" xfId="12" applyFont="1" applyFill="1" applyBorder="1" applyAlignment="1">
      <alignment horizontal="center" vertical="center"/>
    </xf>
    <xf numFmtId="166" fontId="33" fillId="0" borderId="4" xfId="12" applyFont="1" applyFill="1" applyBorder="1" applyAlignment="1">
      <alignment horizontal="right" vertical="center"/>
    </xf>
    <xf numFmtId="166" fontId="37" fillId="0" borderId="61" xfId="12" applyFont="1" applyFill="1" applyBorder="1" applyAlignment="1">
      <alignment horizontal="right" vertical="center"/>
    </xf>
    <xf numFmtId="166" fontId="25" fillId="15" borderId="0" xfId="12" applyFont="1" applyFill="1" applyBorder="1" applyAlignment="1">
      <alignment horizontal="right" vertical="center"/>
    </xf>
    <xf numFmtId="0" fontId="13" fillId="0" borderId="7" xfId="0" applyFont="1" applyBorder="1" applyAlignment="1">
      <alignment horizontal="left" vertical="center"/>
    </xf>
    <xf numFmtId="166" fontId="13" fillId="0" borderId="7" xfId="12" applyFont="1" applyFill="1" applyBorder="1" applyAlignment="1">
      <alignment vertical="center"/>
    </xf>
    <xf numFmtId="178" fontId="39" fillId="0" borderId="1" xfId="12" applyNumberFormat="1" applyFont="1" applyBorder="1" applyAlignment="1">
      <alignment horizontal="right" vertical="center" shrinkToFit="1"/>
    </xf>
    <xf numFmtId="178" fontId="39" fillId="0" borderId="1" xfId="12" applyNumberFormat="1" applyFont="1" applyFill="1" applyBorder="1" applyAlignment="1">
      <alignment horizontal="right" vertical="center" shrinkToFit="1"/>
    </xf>
    <xf numFmtId="178" fontId="6" fillId="8" borderId="7" xfId="12" applyNumberFormat="1" applyFont="1" applyFill="1" applyBorder="1" applyAlignment="1">
      <alignment horizontal="center" vertical="center" shrinkToFit="1"/>
    </xf>
    <xf numFmtId="178" fontId="13" fillId="0" borderId="1" xfId="12" applyNumberFormat="1" applyFont="1" applyBorder="1" applyAlignment="1">
      <alignment horizontal="right" vertical="center" shrinkToFit="1"/>
    </xf>
    <xf numFmtId="178" fontId="6" fillId="8" borderId="1" xfId="12" applyNumberFormat="1" applyFont="1" applyFill="1" applyBorder="1" applyAlignment="1">
      <alignment horizontal="right" vertical="center" shrinkToFit="1"/>
    </xf>
    <xf numFmtId="178" fontId="44" fillId="0" borderId="1" xfId="0" applyNumberFormat="1" applyFont="1" applyBorder="1" applyAlignment="1">
      <alignment horizontal="right" vertical="center"/>
    </xf>
    <xf numFmtId="178" fontId="7" fillId="14" borderId="1" xfId="12" applyNumberFormat="1" applyFont="1" applyFill="1" applyBorder="1" applyAlignment="1">
      <alignment horizontal="right" vertical="center" shrinkToFit="1"/>
    </xf>
    <xf numFmtId="178" fontId="39" fillId="0" borderId="0" xfId="12" applyNumberFormat="1" applyFont="1" applyFill="1" applyBorder="1" applyAlignment="1">
      <alignment horizontal="right" vertical="center" shrinkToFit="1"/>
    </xf>
    <xf numFmtId="176" fontId="5" fillId="0" borderId="7" xfId="12" applyNumberFormat="1" applyFont="1" applyFill="1" applyBorder="1" applyAlignment="1">
      <alignment horizontal="right" vertical="center"/>
    </xf>
    <xf numFmtId="176" fontId="39" fillId="0" borderId="1" xfId="26" applyNumberFormat="1" applyFont="1" applyBorder="1" applyAlignment="1">
      <alignment horizontal="right" vertical="center" shrinkToFit="1"/>
    </xf>
    <xf numFmtId="176" fontId="12" fillId="8" borderId="87" xfId="12" applyNumberFormat="1" applyFont="1" applyFill="1" applyBorder="1" applyAlignment="1">
      <alignment vertical="center"/>
    </xf>
    <xf numFmtId="176" fontId="5" fillId="8" borderId="12" xfId="12" applyNumberFormat="1" applyFont="1" applyFill="1" applyBorder="1" applyAlignment="1">
      <alignment horizontal="right" vertical="center"/>
    </xf>
    <xf numFmtId="176" fontId="5" fillId="0" borderId="87" xfId="12" applyNumberFormat="1" applyFont="1" applyFill="1" applyBorder="1" applyAlignment="1">
      <alignment horizontal="right" vertical="center"/>
    </xf>
    <xf numFmtId="176" fontId="10" fillId="0" borderId="12" xfId="12" applyNumberFormat="1" applyFont="1" applyFill="1" applyBorder="1" applyAlignment="1">
      <alignment horizontal="right" vertical="center"/>
    </xf>
    <xf numFmtId="176" fontId="10" fillId="0" borderId="12" xfId="12" applyNumberFormat="1" applyFont="1" applyBorder="1" applyAlignment="1">
      <alignment horizontal="right" vertical="center"/>
    </xf>
    <xf numFmtId="176" fontId="9" fillId="8" borderId="87" xfId="12" applyNumberFormat="1" applyFont="1" applyFill="1" applyBorder="1" applyAlignment="1">
      <alignment vertical="center"/>
    </xf>
    <xf numFmtId="176" fontId="10" fillId="0" borderId="12" xfId="12" applyNumberFormat="1" applyFont="1" applyFill="1" applyBorder="1" applyAlignment="1">
      <alignment horizontal="center" vertical="center"/>
    </xf>
    <xf numFmtId="176" fontId="13" fillId="14" borderId="87" xfId="12" applyNumberFormat="1" applyFont="1" applyFill="1" applyBorder="1" applyAlignment="1">
      <alignment horizontal="right" vertical="center"/>
    </xf>
    <xf numFmtId="176" fontId="5" fillId="14" borderId="12" xfId="12" applyNumberFormat="1" applyFont="1" applyFill="1" applyBorder="1" applyAlignment="1">
      <alignment horizontal="right" vertical="center"/>
    </xf>
    <xf numFmtId="176" fontId="21" fillId="0" borderId="87" xfId="12" applyNumberFormat="1" applyFont="1" applyFill="1" applyBorder="1" applyAlignment="1">
      <alignment horizontal="right" vertical="center"/>
    </xf>
    <xf numFmtId="176" fontId="21" fillId="0" borderId="2" xfId="12" applyNumberFormat="1" applyFont="1" applyBorder="1" applyAlignment="1">
      <alignment horizontal="center" vertical="center"/>
    </xf>
    <xf numFmtId="176" fontId="13" fillId="8" borderId="87" xfId="12" applyNumberFormat="1" applyFont="1" applyFill="1" applyBorder="1" applyAlignment="1">
      <alignment horizontal="right" vertical="center"/>
    </xf>
    <xf numFmtId="176" fontId="21" fillId="8" borderId="12" xfId="12" applyNumberFormat="1" applyFont="1" applyFill="1" applyBorder="1" applyAlignment="1">
      <alignment horizontal="right" vertical="center"/>
    </xf>
    <xf numFmtId="176" fontId="34" fillId="0" borderId="87" xfId="12" applyNumberFormat="1" applyFont="1" applyFill="1" applyBorder="1" applyAlignment="1">
      <alignment horizontal="right" vertical="center"/>
    </xf>
    <xf numFmtId="176" fontId="21" fillId="0" borderId="6" xfId="12" applyNumberFormat="1" applyFont="1" applyFill="1" applyBorder="1" applyAlignment="1">
      <alignment horizontal="center" vertical="center"/>
    </xf>
    <xf numFmtId="176" fontId="5" fillId="0" borderId="12" xfId="12" applyNumberFormat="1" applyFont="1" applyFill="1" applyBorder="1" applyAlignment="1">
      <alignment horizontal="center" vertical="center"/>
    </xf>
    <xf numFmtId="176" fontId="5" fillId="0" borderId="2" xfId="12" applyNumberFormat="1" applyFont="1" applyFill="1" applyBorder="1" applyAlignment="1">
      <alignment horizontal="center" vertical="center"/>
    </xf>
    <xf numFmtId="176" fontId="5" fillId="10" borderId="86" xfId="12" applyNumberFormat="1" applyFont="1" applyFill="1" applyBorder="1" applyAlignment="1">
      <alignment horizontal="right" vertical="center"/>
    </xf>
    <xf numFmtId="176" fontId="5" fillId="0" borderId="88" xfId="12" applyNumberFormat="1" applyFont="1" applyFill="1" applyBorder="1" applyAlignment="1">
      <alignment horizontal="right" vertical="center"/>
    </xf>
    <xf numFmtId="176" fontId="5" fillId="0" borderId="2" xfId="12" applyNumberFormat="1" applyFont="1" applyBorder="1" applyAlignment="1">
      <alignment horizontal="center" vertical="center"/>
    </xf>
    <xf numFmtId="176" fontId="13" fillId="2" borderId="87" xfId="12" applyNumberFormat="1" applyFont="1" applyFill="1" applyBorder="1" applyAlignment="1">
      <alignment horizontal="right" vertical="center"/>
    </xf>
    <xf numFmtId="176" fontId="6" fillId="7" borderId="90" xfId="12" applyNumberFormat="1" applyFont="1" applyFill="1" applyBorder="1" applyAlignment="1">
      <alignment horizontal="right" vertical="center"/>
    </xf>
    <xf numFmtId="176" fontId="21" fillId="0" borderId="57" xfId="12" applyNumberFormat="1" applyFont="1" applyFill="1" applyBorder="1" applyAlignment="1">
      <alignment horizontal="right" vertical="center"/>
    </xf>
    <xf numFmtId="176" fontId="17" fillId="0" borderId="88" xfId="12" applyNumberFormat="1" applyFont="1" applyFill="1" applyBorder="1" applyAlignment="1">
      <alignment horizontal="right" vertical="center"/>
    </xf>
    <xf numFmtId="176" fontId="17" fillId="0" borderId="0" xfId="12" applyNumberFormat="1" applyFont="1" applyFill="1" applyBorder="1" applyAlignment="1">
      <alignment horizontal="right" vertical="center"/>
    </xf>
    <xf numFmtId="176" fontId="21" fillId="0" borderId="88" xfId="12" applyNumberFormat="1" applyFont="1" applyBorder="1" applyAlignment="1">
      <alignment horizontal="center" vertical="center"/>
    </xf>
    <xf numFmtId="176" fontId="10" fillId="0" borderId="0" xfId="12" applyNumberFormat="1" applyFont="1" applyBorder="1" applyAlignment="1">
      <alignment horizontal="right" vertical="center"/>
    </xf>
    <xf numFmtId="176" fontId="13" fillId="3" borderId="91" xfId="12" applyNumberFormat="1" applyFont="1" applyFill="1" applyBorder="1" applyAlignment="1">
      <alignment horizontal="right" vertical="center"/>
    </xf>
    <xf numFmtId="176" fontId="21" fillId="3" borderId="65" xfId="12" applyNumberFormat="1" applyFont="1" applyFill="1" applyBorder="1" applyAlignment="1">
      <alignment horizontal="right" vertical="center"/>
    </xf>
    <xf numFmtId="176" fontId="5" fillId="0" borderId="86" xfId="12" applyNumberFormat="1" applyFont="1" applyFill="1" applyBorder="1" applyAlignment="1">
      <alignment horizontal="right" vertical="center"/>
    </xf>
    <xf numFmtId="176" fontId="5" fillId="0" borderId="2" xfId="12" applyNumberFormat="1" applyFont="1" applyFill="1" applyBorder="1" applyAlignment="1">
      <alignment horizontal="right" vertical="center"/>
    </xf>
    <xf numFmtId="176" fontId="21" fillId="0" borderId="2" xfId="12" applyNumberFormat="1" applyFont="1" applyFill="1" applyBorder="1" applyAlignment="1">
      <alignment horizontal="right" vertical="center"/>
    </xf>
    <xf numFmtId="176" fontId="5" fillId="0" borderId="86" xfId="12" applyNumberFormat="1" applyFont="1" applyBorder="1" applyAlignment="1">
      <alignment horizontal="right" vertical="center"/>
    </xf>
    <xf numFmtId="176" fontId="5" fillId="0" borderId="2" xfId="12" applyNumberFormat="1" applyFont="1" applyBorder="1" applyAlignment="1">
      <alignment horizontal="right" vertical="center"/>
    </xf>
    <xf numFmtId="176" fontId="5" fillId="3" borderId="92" xfId="12" applyNumberFormat="1" applyFont="1" applyFill="1" applyBorder="1" applyAlignment="1">
      <alignment horizontal="right" vertical="center"/>
    </xf>
    <xf numFmtId="176" fontId="5" fillId="3" borderId="4" xfId="12" applyNumberFormat="1" applyFont="1" applyFill="1" applyBorder="1" applyAlignment="1">
      <alignment vertical="center"/>
    </xf>
    <xf numFmtId="176" fontId="5" fillId="0" borderId="112" xfId="12" applyNumberFormat="1" applyFont="1" applyBorder="1" applyAlignment="1">
      <alignment vertical="center"/>
    </xf>
    <xf numFmtId="176" fontId="5" fillId="3" borderId="93" xfId="12" applyNumberFormat="1" applyFont="1" applyFill="1" applyBorder="1" applyAlignment="1">
      <alignment horizontal="right" vertical="center"/>
    </xf>
    <xf numFmtId="176" fontId="5" fillId="3" borderId="18" xfId="12" applyNumberFormat="1" applyFont="1" applyFill="1" applyBorder="1" applyAlignment="1">
      <alignment horizontal="right" vertical="center"/>
    </xf>
    <xf numFmtId="176" fontId="5" fillId="0" borderId="6" xfId="12" applyNumberFormat="1" applyFont="1" applyFill="1" applyBorder="1" applyAlignment="1">
      <alignment horizontal="center" vertical="center"/>
    </xf>
    <xf numFmtId="176" fontId="5" fillId="12" borderId="94" xfId="12" applyNumberFormat="1" applyFont="1" applyFill="1" applyBorder="1" applyAlignment="1">
      <alignment horizontal="right" vertical="center"/>
    </xf>
    <xf numFmtId="176" fontId="5" fillId="12" borderId="52" xfId="12" applyNumberFormat="1" applyFont="1" applyFill="1" applyBorder="1" applyAlignment="1">
      <alignment horizontal="center" vertical="center"/>
    </xf>
    <xf numFmtId="176" fontId="5" fillId="0" borderId="95" xfId="12" applyNumberFormat="1" applyFont="1" applyBorder="1" applyAlignment="1">
      <alignment horizontal="right" vertical="center"/>
    </xf>
    <xf numFmtId="176" fontId="5" fillId="0" borderId="12" xfId="12" applyNumberFormat="1" applyFont="1" applyBorder="1" applyAlignment="1">
      <alignment vertical="center"/>
    </xf>
    <xf numFmtId="176" fontId="5" fillId="0" borderId="62" xfId="12" applyNumberFormat="1" applyFont="1" applyBorder="1" applyAlignment="1">
      <alignment horizontal="right" vertical="center"/>
    </xf>
    <xf numFmtId="176" fontId="21" fillId="0" borderId="29" xfId="12" applyNumberFormat="1" applyFont="1" applyFill="1" applyBorder="1" applyAlignment="1">
      <alignment vertical="center"/>
    </xf>
    <xf numFmtId="176" fontId="5" fillId="0" borderId="29" xfId="12" applyNumberFormat="1" applyFont="1" applyBorder="1" applyAlignment="1">
      <alignment vertical="center"/>
    </xf>
    <xf numFmtId="176" fontId="5" fillId="5" borderId="64" xfId="12" applyNumberFormat="1" applyFont="1" applyFill="1" applyBorder="1" applyAlignment="1">
      <alignment horizontal="right" vertical="center"/>
    </xf>
    <xf numFmtId="176" fontId="5" fillId="5" borderId="65" xfId="12" applyNumberFormat="1" applyFont="1" applyFill="1" applyBorder="1" applyAlignment="1">
      <alignment vertical="center"/>
    </xf>
    <xf numFmtId="176" fontId="11" fillId="3" borderId="5" xfId="0" applyNumberFormat="1" applyFont="1" applyFill="1" applyBorder="1" applyAlignment="1">
      <alignment vertical="center" shrinkToFit="1"/>
    </xf>
    <xf numFmtId="179" fontId="39" fillId="0" borderId="0" xfId="12" applyNumberFormat="1" applyFont="1" applyFill="1" applyBorder="1" applyAlignment="1">
      <alignment horizontal="right" vertical="center" shrinkToFit="1"/>
    </xf>
    <xf numFmtId="2" fontId="6" fillId="0" borderId="0" xfId="0" applyNumberFormat="1" applyFont="1" applyAlignment="1">
      <alignment vertical="center"/>
    </xf>
    <xf numFmtId="179" fontId="44" fillId="17" borderId="0" xfId="12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5" fillId="10" borderId="7" xfId="0" applyFont="1" applyFill="1" applyBorder="1" applyAlignment="1">
      <alignment vertical="center"/>
    </xf>
    <xf numFmtId="0" fontId="17" fillId="7" borderId="2" xfId="0" applyFont="1" applyFill="1" applyBorder="1" applyAlignment="1">
      <alignment vertical="center"/>
    </xf>
    <xf numFmtId="166" fontId="10" fillId="8" borderId="12" xfId="12" applyFont="1" applyFill="1" applyBorder="1" applyAlignment="1">
      <alignment horizontal="right" vertical="center"/>
    </xf>
    <xf numFmtId="176" fontId="39" fillId="0" borderId="12" xfId="26" applyNumberFormat="1" applyFont="1" applyBorder="1" applyAlignment="1">
      <alignment horizontal="right" vertical="center" shrinkToFit="1"/>
    </xf>
    <xf numFmtId="176" fontId="5" fillId="0" borderId="118" xfId="12" applyNumberFormat="1" applyFont="1" applyFill="1" applyBorder="1" applyAlignment="1">
      <alignment horizontal="right" vertical="center"/>
    </xf>
    <xf numFmtId="176" fontId="21" fillId="0" borderId="118" xfId="12" applyNumberFormat="1" applyFont="1" applyFill="1" applyBorder="1" applyAlignment="1">
      <alignment horizontal="right" vertical="center"/>
    </xf>
    <xf numFmtId="176" fontId="5" fillId="0" borderId="118" xfId="12" applyNumberFormat="1" applyFont="1" applyBorder="1" applyAlignment="1">
      <alignment horizontal="center" vertical="center"/>
    </xf>
    <xf numFmtId="176" fontId="5" fillId="10" borderId="120" xfId="12" applyNumberFormat="1" applyFont="1" applyFill="1" applyBorder="1" applyAlignment="1">
      <alignment horizontal="right" vertical="center"/>
    </xf>
    <xf numFmtId="176" fontId="5" fillId="0" borderId="121" xfId="12" applyNumberFormat="1" applyFont="1" applyBorder="1" applyAlignment="1">
      <alignment horizontal="center" vertical="center"/>
    </xf>
    <xf numFmtId="176" fontId="5" fillId="2" borderId="119" xfId="12" applyNumberFormat="1" applyFont="1" applyFill="1" applyBorder="1" applyAlignment="1">
      <alignment horizontal="right" vertical="center"/>
    </xf>
    <xf numFmtId="176" fontId="0" fillId="0" borderId="1" xfId="26" applyNumberFormat="1" applyFont="1" applyFill="1" applyBorder="1" applyAlignment="1">
      <alignment horizontal="right" vertical="center"/>
    </xf>
    <xf numFmtId="176" fontId="5" fillId="0" borderId="98" xfId="12" applyNumberFormat="1" applyFont="1" applyFill="1" applyBorder="1" applyAlignment="1">
      <alignment horizontal="right" vertical="center"/>
    </xf>
    <xf numFmtId="166" fontId="5" fillId="18" borderId="2" xfId="12" applyFont="1" applyFill="1" applyBorder="1" applyAlignment="1">
      <alignment horizontal="right" vertical="center"/>
    </xf>
    <xf numFmtId="176" fontId="25" fillId="0" borderId="0" xfId="12" applyNumberFormat="1" applyFont="1" applyFill="1" applyBorder="1" applyAlignment="1">
      <alignment horizontal="right" vertical="center"/>
    </xf>
    <xf numFmtId="169" fontId="5" fillId="5" borderId="33" xfId="12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10" fillId="12" borderId="51" xfId="0" applyFont="1" applyFill="1" applyBorder="1" applyAlignment="1">
      <alignment horizontal="center" vertical="center"/>
    </xf>
    <xf numFmtId="37" fontId="41" fillId="13" borderId="79" xfId="0" quotePrefix="1" applyNumberFormat="1" applyFont="1" applyFill="1" applyBorder="1" applyAlignment="1">
      <alignment horizontal="center" vertical="center"/>
    </xf>
    <xf numFmtId="37" fontId="41" fillId="13" borderId="80" xfId="0" quotePrefix="1" applyNumberFormat="1" applyFont="1" applyFill="1" applyBorder="1" applyAlignment="1">
      <alignment horizontal="center" vertical="center"/>
    </xf>
    <xf numFmtId="166" fontId="10" fillId="0" borderId="33" xfId="0" applyNumberFormat="1" applyFont="1" applyBorder="1" applyAlignment="1">
      <alignment horizontal="center" vertical="center"/>
    </xf>
    <xf numFmtId="176" fontId="21" fillId="0" borderId="100" xfId="12" applyNumberFormat="1" applyFont="1" applyFill="1" applyBorder="1" applyAlignment="1">
      <alignment horizontal="center" vertical="center"/>
    </xf>
    <xf numFmtId="176" fontId="36" fillId="0" borderId="104" xfId="12" applyNumberFormat="1" applyFont="1" applyFill="1" applyBorder="1" applyAlignment="1">
      <alignment horizontal="right" vertical="center"/>
    </xf>
    <xf numFmtId="176" fontId="21" fillId="0" borderId="114" xfId="12" applyNumberFormat="1" applyFont="1" applyFill="1" applyBorder="1" applyAlignment="1">
      <alignment horizontal="center" vertical="center"/>
    </xf>
    <xf numFmtId="176" fontId="21" fillId="0" borderId="115" xfId="12" applyNumberFormat="1" applyFont="1" applyFill="1" applyBorder="1" applyAlignment="1">
      <alignment horizontal="center" vertical="center"/>
    </xf>
    <xf numFmtId="176" fontId="21" fillId="0" borderId="116" xfId="12" applyNumberFormat="1" applyFont="1" applyFill="1" applyBorder="1" applyAlignment="1">
      <alignment horizontal="center" vertical="center"/>
    </xf>
    <xf numFmtId="176" fontId="21" fillId="0" borderId="117" xfId="12" applyNumberFormat="1" applyFont="1" applyFill="1" applyBorder="1" applyAlignment="1">
      <alignment horizontal="center" vertical="center"/>
    </xf>
    <xf numFmtId="166" fontId="13" fillId="0" borderId="0" xfId="0" applyNumberFormat="1" applyFont="1" applyAlignment="1">
      <alignment vertical="center"/>
    </xf>
    <xf numFmtId="166" fontId="5" fillId="0" borderId="88" xfId="0" applyNumberFormat="1" applyFont="1" applyBorder="1" applyAlignment="1">
      <alignment horizontal="right" vertical="center"/>
    </xf>
  </cellXfs>
  <cellStyles count="27">
    <cellStyle name="Millares 2" xfId="19" xr:uid="{00000000-0005-0000-0000-000002000000}"/>
    <cellStyle name="Moeda" xfId="26" builtinId="4"/>
    <cellStyle name="Moeda [0]" xfId="18" builtinId="7"/>
    <cellStyle name="Moeda 2" xfId="23" xr:uid="{00000000-0005-0000-0000-000003000000}"/>
    <cellStyle name="Moeda 3" xfId="25" xr:uid="{00000000-0005-0000-0000-000004000000}"/>
    <cellStyle name="Normal" xfId="0" builtinId="0"/>
    <cellStyle name="Normal 2" xfId="1" xr:uid="{00000000-0005-0000-0000-000007000000}"/>
    <cellStyle name="Normal 3" xfId="2" xr:uid="{00000000-0005-0000-0000-000008000000}"/>
    <cellStyle name="Normal 4" xfId="20" xr:uid="{00000000-0005-0000-0000-000009000000}"/>
    <cellStyle name="Normal 5" xfId="21" xr:uid="{00000000-0005-0000-0000-00000A000000}"/>
    <cellStyle name="Normal 6" xfId="22" xr:uid="{00000000-0005-0000-0000-00000B000000}"/>
    <cellStyle name="Normal 7" xfId="24" xr:uid="{00000000-0005-0000-0000-00000C000000}"/>
    <cellStyle name="Porcentagem 2" xfId="3" xr:uid="{00000000-0005-0000-0000-00000D000000}"/>
    <cellStyle name="Porcentagem 2 2" xfId="4" xr:uid="{00000000-0005-0000-0000-00000E000000}"/>
    <cellStyle name="Porcentagem 3" xfId="5" xr:uid="{00000000-0005-0000-0000-00000F000000}"/>
    <cellStyle name="Porcentagem 3 2" xfId="6" xr:uid="{00000000-0005-0000-0000-000010000000}"/>
    <cellStyle name="Porcentagem 4" xfId="7" xr:uid="{00000000-0005-0000-0000-000011000000}"/>
    <cellStyle name="Separador de milhares [0]" xfId="8" builtinId="6"/>
    <cellStyle name="Separador de milhares [0] 2" xfId="9" xr:uid="{00000000-0005-0000-0000-000012000000}"/>
    <cellStyle name="Separador de milhares [0] 2 2" xfId="10" xr:uid="{00000000-0005-0000-0000-000013000000}"/>
    <cellStyle name="Separador de milhares [0] 3" xfId="11" xr:uid="{00000000-0005-0000-0000-000014000000}"/>
    <cellStyle name="Vírgula" xfId="12" builtinId="3"/>
    <cellStyle name="Vírgula 2" xfId="13" xr:uid="{00000000-0005-0000-0000-000015000000}"/>
    <cellStyle name="Vírgula 2 2" xfId="14" xr:uid="{00000000-0005-0000-0000-000016000000}"/>
    <cellStyle name="Vírgula 3" xfId="15" xr:uid="{00000000-0005-0000-0000-000017000000}"/>
    <cellStyle name="Vírgula 3 2" xfId="16" xr:uid="{00000000-0005-0000-0000-000018000000}"/>
    <cellStyle name="Vírgula 4" xfId="17" xr:uid="{00000000-0005-0000-0000-000019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66FFFF"/>
      <color rgb="FFCCFF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06/relationships/attachedToolbars" Target="attachedToolbars.bin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C382"/>
  <sheetViews>
    <sheetView showGridLines="0" tabSelected="1" zoomScale="92" zoomScaleNormal="140" zoomScaleSheetLayoutView="100" workbookViewId="0">
      <pane xSplit="3" ySplit="1" topLeftCell="D77" activePane="bottomRight" state="frozen"/>
      <selection activeCell="L16" sqref="L16"/>
      <selection pane="topRight" activeCell="L16" sqref="L16"/>
      <selection pane="bottomLeft" activeCell="L16" sqref="L16"/>
      <selection pane="bottomRight" activeCell="D56" sqref="D56"/>
    </sheetView>
  </sheetViews>
  <sheetFormatPr baseColWidth="10" defaultColWidth="5.1640625" defaultRowHeight="11"/>
  <cols>
    <col min="1" max="1" width="5.1640625" style="1"/>
    <col min="2" max="2" width="7" style="1" bestFit="1" customWidth="1"/>
    <col min="3" max="3" width="14.6640625" style="1" bestFit="1" customWidth="1"/>
    <col min="4" max="4" width="17.5" style="1" customWidth="1"/>
    <col min="5" max="5" width="6.1640625" style="1" customWidth="1"/>
    <col min="6" max="6" width="12.6640625" style="1" bestFit="1" customWidth="1"/>
    <col min="7" max="7" width="15.1640625" style="193" customWidth="1"/>
    <col min="8" max="8" width="20.5" style="238" bestFit="1" customWidth="1"/>
    <col min="9" max="9" width="17.83203125" style="1" bestFit="1" customWidth="1"/>
    <col min="10" max="10" width="19" style="1" customWidth="1"/>
    <col min="11" max="12" width="18.5" style="1" customWidth="1"/>
    <col min="13" max="13" width="19.33203125" style="1" customWidth="1"/>
    <col min="14" max="15" width="18.5" style="1" customWidth="1"/>
    <col min="16" max="16" width="14.6640625" style="1" bestFit="1" customWidth="1"/>
    <col min="17" max="17" width="17.5" style="1" bestFit="1" customWidth="1"/>
    <col min="18" max="18" width="14.5" style="418" bestFit="1" customWidth="1"/>
    <col min="19" max="19" width="10.33203125" style="1" bestFit="1" customWidth="1"/>
    <col min="20" max="20" width="5.1640625" style="1"/>
    <col min="21" max="22" width="11.83203125" style="1" bestFit="1" customWidth="1"/>
    <col min="23" max="16384" width="5.1640625" style="1"/>
  </cols>
  <sheetData>
    <row r="1" spans="2:29" ht="15.75" customHeight="1" thickBot="1">
      <c r="D1" s="54"/>
      <c r="E1" s="55"/>
      <c r="F1" s="55"/>
      <c r="G1" s="203"/>
      <c r="H1" s="241">
        <v>1475</v>
      </c>
      <c r="I1" s="252">
        <v>45990</v>
      </c>
      <c r="J1" s="529" t="s">
        <v>51</v>
      </c>
      <c r="K1" s="529"/>
      <c r="L1" s="529"/>
      <c r="M1" s="529"/>
      <c r="N1" s="530"/>
      <c r="O1" s="416">
        <v>1390.11</v>
      </c>
      <c r="P1" s="252">
        <v>46022</v>
      </c>
      <c r="Q1" s="56" t="s">
        <v>2</v>
      </c>
    </row>
    <row r="2" spans="2:29" ht="15.75" customHeight="1" thickTop="1">
      <c r="C2" s="279" t="s">
        <v>6</v>
      </c>
      <c r="D2" s="16" t="s">
        <v>27</v>
      </c>
      <c r="E2" s="17"/>
      <c r="F2" s="17"/>
      <c r="G2" s="194"/>
      <c r="H2" s="216"/>
      <c r="I2" s="432">
        <f>SUM(I4:I8)</f>
        <v>-36.569288135593219</v>
      </c>
      <c r="J2" s="437"/>
      <c r="K2" s="438"/>
      <c r="L2" s="439"/>
      <c r="M2" s="440"/>
      <c r="N2" s="441"/>
      <c r="O2" s="442"/>
      <c r="P2" s="253"/>
      <c r="Q2" s="57">
        <f>SUM(P4:P8)</f>
        <v>137665.1612439806</v>
      </c>
    </row>
    <row r="3" spans="2:29" ht="15.75" customHeight="1">
      <c r="C3" s="18"/>
      <c r="D3" s="19" t="s">
        <v>25</v>
      </c>
      <c r="E3" s="20"/>
      <c r="F3" s="20"/>
      <c r="G3" s="85"/>
      <c r="H3" s="217"/>
      <c r="I3" s="253"/>
      <c r="J3" s="371"/>
      <c r="K3" s="62"/>
      <c r="L3" s="62"/>
      <c r="M3" s="63"/>
      <c r="N3" s="62"/>
      <c r="O3" s="62"/>
      <c r="P3" s="253"/>
      <c r="Q3" s="514"/>
    </row>
    <row r="4" spans="2:29" ht="13.5" customHeight="1">
      <c r="C4" s="64"/>
      <c r="D4" s="50" t="s">
        <v>145</v>
      </c>
      <c r="E4" s="50" t="s">
        <v>156</v>
      </c>
      <c r="F4" s="2"/>
      <c r="G4" s="381"/>
      <c r="H4" s="448">
        <f>+P4*O1</f>
        <v>0</v>
      </c>
      <c r="I4" s="254">
        <v>0</v>
      </c>
      <c r="J4" s="242"/>
      <c r="K4" s="59"/>
      <c r="L4" s="60"/>
      <c r="M4" s="59"/>
      <c r="N4" s="59"/>
      <c r="O4" s="271"/>
      <c r="P4" s="457">
        <f t="shared" ref="P4:P5" si="0">SUM(I4:O4)</f>
        <v>0</v>
      </c>
      <c r="Q4" s="515">
        <f>P4*O1</f>
        <v>0</v>
      </c>
      <c r="S4" s="333"/>
    </row>
    <row r="5" spans="2:29" ht="13.5" customHeight="1">
      <c r="B5" s="509"/>
      <c r="C5" s="64"/>
      <c r="D5" s="50" t="s">
        <v>146</v>
      </c>
      <c r="E5" s="50" t="s">
        <v>156</v>
      </c>
      <c r="F5" s="2"/>
      <c r="G5" s="381"/>
      <c r="H5" s="449">
        <v>-53939.7</v>
      </c>
      <c r="I5" s="254">
        <f>H5/H1</f>
        <v>-36.569288135593219</v>
      </c>
      <c r="J5" s="242">
        <v>200000</v>
      </c>
      <c r="K5" s="59">
        <f>(-5422542.5-32535.26-1721216.98-798.01-83.79-7.09-3336106.35-20021.97-32212535.18-193275.21-5357908-32147.45-1485-311.85-30834000-3268379.02-204631.05-10000-2546828.46-15280.97-26724-179990000-999552-20583.36-6281.15-1485-311.85-10.78-97653-149938.81-1485.55-720-151.2-720-151.2-57500-1725-1725-12075-14570-437.1-3059.7-437.1-3059.7-437.1-559.63)/O1</f>
        <v>-191784.4252397292</v>
      </c>
      <c r="L5" s="60"/>
      <c r="M5" s="59"/>
      <c r="N5" s="59"/>
      <c r="O5" s="271"/>
      <c r="P5" s="457">
        <f t="shared" si="0"/>
        <v>8179.0054721352062</v>
      </c>
      <c r="Q5" s="515">
        <f>P5*O1</f>
        <v>11369717.29686987</v>
      </c>
      <c r="R5" s="419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</row>
    <row r="6" spans="2:29" ht="13.5" customHeight="1">
      <c r="C6" s="64"/>
      <c r="D6" s="50" t="s">
        <v>146</v>
      </c>
      <c r="E6" s="108" t="s">
        <v>157</v>
      </c>
      <c r="F6" s="446"/>
      <c r="G6" s="447"/>
      <c r="H6" s="448">
        <v>0</v>
      </c>
      <c r="I6" s="344">
        <v>0</v>
      </c>
      <c r="J6" s="522">
        <f>H6/O1</f>
        <v>0</v>
      </c>
      <c r="K6" s="59"/>
      <c r="L6" s="60"/>
      <c r="M6" s="59"/>
      <c r="N6" s="59"/>
      <c r="O6" s="271"/>
      <c r="P6" s="457">
        <f>SUM(I6:O6)</f>
        <v>0</v>
      </c>
      <c r="Q6" s="515"/>
      <c r="R6" s="419"/>
      <c r="S6" s="385"/>
      <c r="T6" s="385"/>
      <c r="U6" s="385"/>
      <c r="V6" s="385"/>
      <c r="W6" s="385"/>
      <c r="X6" s="385"/>
      <c r="Y6" s="385"/>
      <c r="Z6" s="385"/>
      <c r="AA6" s="385"/>
      <c r="AB6" s="385"/>
      <c r="AC6" s="385"/>
    </row>
    <row r="7" spans="2:29" ht="13.5" customHeight="1">
      <c r="C7" s="64"/>
      <c r="D7" s="108"/>
      <c r="E7" s="108"/>
      <c r="F7" s="446"/>
      <c r="G7" s="447"/>
      <c r="H7" s="449"/>
      <c r="I7" s="344"/>
      <c r="J7" s="242"/>
      <c r="K7" s="59"/>
      <c r="L7" s="60"/>
      <c r="M7" s="59"/>
      <c r="N7" s="59"/>
      <c r="O7" s="271"/>
      <c r="P7" s="457"/>
      <c r="Q7" s="515"/>
      <c r="R7" s="419"/>
      <c r="S7" s="385"/>
      <c r="T7" s="385"/>
      <c r="U7" s="385"/>
      <c r="V7" s="385"/>
      <c r="W7" s="385"/>
      <c r="X7" s="385"/>
      <c r="Y7" s="385"/>
      <c r="Z7" s="385"/>
      <c r="AA7" s="385"/>
      <c r="AB7" s="385"/>
      <c r="AC7" s="385"/>
    </row>
    <row r="8" spans="2:29" ht="13.5" customHeight="1">
      <c r="C8" s="64"/>
      <c r="D8" s="108" t="s">
        <v>163</v>
      </c>
      <c r="E8" s="108"/>
      <c r="F8" s="446"/>
      <c r="G8" s="447"/>
      <c r="H8" s="449">
        <f>+P8*O1</f>
        <v>180000000</v>
      </c>
      <c r="I8" s="344">
        <v>0</v>
      </c>
      <c r="J8" s="242"/>
      <c r="K8" s="59">
        <f>+(10000+179990000)/O1</f>
        <v>129486.1557718454</v>
      </c>
      <c r="L8" s="60"/>
      <c r="M8" s="59"/>
      <c r="N8" s="59"/>
      <c r="O8" s="271"/>
      <c r="P8" s="457">
        <f>SUM(I8:O8)</f>
        <v>129486.1557718454</v>
      </c>
      <c r="Q8" s="515">
        <f>P8*O1</f>
        <v>180000000</v>
      </c>
      <c r="R8" s="419"/>
      <c r="S8" s="385"/>
      <c r="T8" s="385"/>
      <c r="U8" s="385"/>
      <c r="V8" s="385"/>
      <c r="W8" s="385"/>
      <c r="X8" s="385"/>
      <c r="Y8" s="385"/>
      <c r="Z8" s="385"/>
      <c r="AA8" s="385"/>
      <c r="AB8" s="385"/>
      <c r="AC8" s="385"/>
    </row>
    <row r="9" spans="2:29" ht="14.25" customHeight="1">
      <c r="C9" s="18"/>
      <c r="D9" s="19" t="s">
        <v>35</v>
      </c>
      <c r="E9" s="20"/>
      <c r="F9" s="21"/>
      <c r="G9" s="196"/>
      <c r="H9" s="450"/>
      <c r="I9" s="361"/>
      <c r="J9" s="390"/>
      <c r="K9" s="62"/>
      <c r="L9" s="62"/>
      <c r="M9" s="63"/>
      <c r="N9" s="62"/>
      <c r="O9" s="62"/>
      <c r="P9" s="458"/>
      <c r="Q9" s="459">
        <f>SUM(P10:P12)</f>
        <v>0</v>
      </c>
    </row>
    <row r="10" spans="2:29" ht="13.5" customHeight="1">
      <c r="C10" s="64"/>
      <c r="D10" s="50" t="s">
        <v>154</v>
      </c>
      <c r="E10" s="50"/>
      <c r="F10" s="2"/>
      <c r="G10" s="381"/>
      <c r="H10" s="449">
        <f>+P10*O1</f>
        <v>0</v>
      </c>
      <c r="I10" s="256">
        <v>0</v>
      </c>
      <c r="J10" s="242"/>
      <c r="K10" s="59"/>
      <c r="L10" s="60"/>
      <c r="M10" s="59"/>
      <c r="N10" s="59"/>
      <c r="O10" s="271"/>
      <c r="P10" s="460">
        <f>SUM(I10:O10)</f>
        <v>0</v>
      </c>
      <c r="Q10" s="461"/>
      <c r="R10" s="420"/>
      <c r="S10" s="385"/>
      <c r="T10" s="385"/>
      <c r="U10" s="385"/>
      <c r="V10" s="385"/>
      <c r="W10" s="385"/>
      <c r="X10" s="385"/>
      <c r="Y10" s="385"/>
      <c r="Z10" s="385"/>
      <c r="AA10" s="385"/>
      <c r="AB10" s="385"/>
      <c r="AC10" s="385"/>
    </row>
    <row r="11" spans="2:29" s="3" customFormat="1" ht="13.25" customHeight="1">
      <c r="C11" s="64"/>
      <c r="D11" s="50" t="s">
        <v>155</v>
      </c>
      <c r="E11" s="50"/>
      <c r="F11" s="2"/>
      <c r="G11" s="381"/>
      <c r="H11" s="449">
        <f>+P11*O1</f>
        <v>0</v>
      </c>
      <c r="I11" s="254">
        <v>0</v>
      </c>
      <c r="J11" s="242"/>
      <c r="K11" s="59"/>
      <c r="L11" s="60"/>
      <c r="M11" s="59"/>
      <c r="N11" s="59"/>
      <c r="O11" s="271"/>
      <c r="P11" s="460">
        <f>SUM(I11:O11)</f>
        <v>0</v>
      </c>
      <c r="Q11" s="461"/>
      <c r="R11" s="420"/>
    </row>
    <row r="12" spans="2:29" s="3" customFormat="1" ht="13.25" customHeight="1">
      <c r="C12" s="64"/>
      <c r="D12" s="50"/>
      <c r="E12" s="50"/>
      <c r="F12" s="2"/>
      <c r="G12" s="195"/>
      <c r="H12" s="451"/>
      <c r="I12" s="254">
        <v>0</v>
      </c>
      <c r="J12" s="243"/>
      <c r="K12" s="66"/>
      <c r="L12" s="67"/>
      <c r="M12" s="69"/>
      <c r="N12" s="68"/>
      <c r="O12" s="272"/>
      <c r="P12" s="460">
        <f>SUM(I12:O12)</f>
        <v>0</v>
      </c>
      <c r="Q12" s="462"/>
      <c r="R12" s="420"/>
    </row>
    <row r="13" spans="2:29" ht="14.25" customHeight="1">
      <c r="C13" s="18" t="s">
        <v>14</v>
      </c>
      <c r="D13" s="19" t="s">
        <v>28</v>
      </c>
      <c r="E13" s="20"/>
      <c r="F13" s="21"/>
      <c r="G13" s="196"/>
      <c r="H13" s="450"/>
      <c r="I13" s="255"/>
      <c r="J13" s="62"/>
      <c r="K13" s="62"/>
      <c r="L13" s="62"/>
      <c r="M13" s="63"/>
      <c r="N13" s="62"/>
      <c r="O13" s="62"/>
      <c r="P13" s="458"/>
      <c r="Q13" s="459">
        <f>SUM(P14:P15)</f>
        <v>0</v>
      </c>
    </row>
    <row r="14" spans="2:29" s="3" customFormat="1" ht="13.5" customHeight="1">
      <c r="C14" s="307"/>
      <c r="D14" s="50"/>
      <c r="E14" s="373"/>
      <c r="F14" s="373"/>
      <c r="G14" s="374"/>
      <c r="H14" s="448">
        <f>+P14*O1</f>
        <v>0</v>
      </c>
      <c r="I14" s="254">
        <v>0</v>
      </c>
      <c r="J14" s="411"/>
      <c r="K14" s="59"/>
      <c r="L14" s="60"/>
      <c r="M14" s="59"/>
      <c r="N14" s="59"/>
      <c r="O14" s="271"/>
      <c r="P14" s="460">
        <f>SUM(I14:O14)</f>
        <v>0</v>
      </c>
      <c r="Q14" s="462"/>
      <c r="R14" s="420"/>
    </row>
    <row r="15" spans="2:29" s="3" customFormat="1" ht="13.5" customHeight="1">
      <c r="C15" s="307"/>
      <c r="D15" s="50"/>
      <c r="E15" s="373"/>
      <c r="F15" s="373"/>
      <c r="G15" s="374"/>
      <c r="H15" s="448">
        <f>+P15*O1</f>
        <v>0</v>
      </c>
      <c r="I15" s="254">
        <v>0</v>
      </c>
      <c r="J15" s="242"/>
      <c r="K15" s="59"/>
      <c r="L15" s="60"/>
      <c r="M15" s="59"/>
      <c r="N15" s="59"/>
      <c r="O15" s="271"/>
      <c r="P15" s="460">
        <f>SUM(I15:O15)</f>
        <v>0</v>
      </c>
      <c r="Q15" s="462"/>
      <c r="R15" s="420"/>
    </row>
    <row r="16" spans="2:29" s="3" customFormat="1" ht="13.5" customHeight="1">
      <c r="C16" s="307"/>
      <c r="D16" s="373"/>
      <c r="E16" s="373"/>
      <c r="F16" s="373"/>
      <c r="G16" s="374"/>
      <c r="H16" s="449"/>
      <c r="I16" s="254"/>
      <c r="J16" s="242"/>
      <c r="K16" s="59"/>
      <c r="L16" s="60"/>
      <c r="M16" s="59"/>
      <c r="N16" s="59"/>
      <c r="O16" s="271"/>
      <c r="P16" s="460"/>
      <c r="Q16" s="461"/>
      <c r="R16" s="420"/>
    </row>
    <row r="17" spans="3:29" s="3" customFormat="1" ht="12.75" customHeight="1">
      <c r="C17" s="22" t="s">
        <v>7</v>
      </c>
      <c r="D17" s="23" t="s">
        <v>43</v>
      </c>
      <c r="E17" s="24"/>
      <c r="F17" s="24"/>
      <c r="G17" s="73"/>
      <c r="H17" s="452"/>
      <c r="I17" s="258"/>
      <c r="J17" s="73"/>
      <c r="K17" s="73"/>
      <c r="L17" s="73"/>
      <c r="M17" s="74"/>
      <c r="N17" s="73"/>
      <c r="O17" s="75"/>
      <c r="P17" s="463"/>
      <c r="Q17" s="459">
        <f>SUM(P18:P19)</f>
        <v>0</v>
      </c>
      <c r="R17" s="420"/>
    </row>
    <row r="18" spans="3:29" s="3" customFormat="1" ht="13.5" customHeight="1">
      <c r="C18" s="64"/>
      <c r="D18" s="52" t="s">
        <v>68</v>
      </c>
      <c r="E18" s="52"/>
      <c r="F18" s="52"/>
      <c r="G18" s="381"/>
      <c r="H18" s="449">
        <f>+P18*O1</f>
        <v>0</v>
      </c>
      <c r="I18" s="256">
        <v>0</v>
      </c>
      <c r="J18" s="411"/>
      <c r="K18" s="412"/>
      <c r="L18" s="413"/>
      <c r="M18" s="417"/>
      <c r="N18" s="414"/>
      <c r="O18" s="415"/>
      <c r="P18" s="460">
        <f>SUM(I18:O18)</f>
        <v>0</v>
      </c>
      <c r="Q18" s="464"/>
      <c r="R18" s="420"/>
    </row>
    <row r="19" spans="3:29" s="3" customFormat="1" ht="13.5" customHeight="1">
      <c r="C19" s="64"/>
      <c r="D19" s="25"/>
      <c r="E19" s="50"/>
      <c r="F19" s="373"/>
      <c r="G19" s="374"/>
      <c r="H19" s="453"/>
      <c r="I19" s="254">
        <v>0</v>
      </c>
      <c r="J19" s="101"/>
      <c r="K19" s="59"/>
      <c r="L19" s="71"/>
      <c r="M19" s="61"/>
      <c r="N19" s="72"/>
      <c r="O19" s="273"/>
      <c r="P19" s="460">
        <f>SUM(I19:O19)</f>
        <v>0</v>
      </c>
      <c r="Q19" s="462"/>
      <c r="R19" s="421"/>
    </row>
    <row r="20" spans="3:29" s="3" customFormat="1" ht="12" customHeight="1">
      <c r="C20" s="320"/>
      <c r="D20" s="321" t="s">
        <v>18</v>
      </c>
      <c r="E20" s="322"/>
      <c r="F20" s="323"/>
      <c r="G20" s="324"/>
      <c r="H20" s="454"/>
      <c r="I20" s="325"/>
      <c r="J20" s="326"/>
      <c r="K20" s="326"/>
      <c r="L20" s="326"/>
      <c r="M20" s="327"/>
      <c r="N20" s="326"/>
      <c r="O20" s="326"/>
      <c r="P20" s="465"/>
      <c r="Q20" s="466">
        <f>SUM(P21:P24)</f>
        <v>184523.2</v>
      </c>
      <c r="R20" s="422"/>
    </row>
    <row r="21" spans="3:29" s="3" customFormat="1" ht="12" customHeight="1">
      <c r="C21" s="64"/>
      <c r="D21" s="50" t="s">
        <v>42</v>
      </c>
      <c r="E21" s="50"/>
      <c r="F21" s="50"/>
      <c r="G21" s="381"/>
      <c r="H21" s="449">
        <f>P21*O1</f>
        <v>0</v>
      </c>
      <c r="I21" s="254">
        <v>0</v>
      </c>
      <c r="J21" s="58"/>
      <c r="K21" s="71"/>
      <c r="L21" s="71"/>
      <c r="M21" s="61"/>
      <c r="N21" s="59"/>
      <c r="O21" s="71"/>
      <c r="P21" s="460">
        <f>SUM(I21:O21)</f>
        <v>0</v>
      </c>
      <c r="Q21" s="516"/>
      <c r="R21" s="420"/>
      <c r="S21" s="385"/>
      <c r="T21" s="385"/>
      <c r="U21" s="385"/>
      <c r="V21" s="385"/>
      <c r="W21" s="385"/>
      <c r="X21" s="385"/>
      <c r="Y21" s="385"/>
      <c r="Z21" s="385"/>
      <c r="AA21" s="385"/>
      <c r="AB21" s="385"/>
      <c r="AC21" s="385"/>
    </row>
    <row r="22" spans="3:29" s="3" customFormat="1" ht="12" customHeight="1">
      <c r="C22" s="64"/>
      <c r="D22" s="50"/>
      <c r="E22" s="50"/>
      <c r="F22" s="50"/>
      <c r="G22" s="195"/>
      <c r="H22" s="448"/>
      <c r="I22" s="257">
        <v>0</v>
      </c>
      <c r="J22" s="58">
        <f>I26+I27+I28</f>
        <v>74893.759999999995</v>
      </c>
      <c r="K22" s="71"/>
      <c r="L22" s="335"/>
      <c r="M22" s="61"/>
      <c r="N22" s="59"/>
      <c r="O22" s="71"/>
      <c r="P22" s="460">
        <f>SUM(I22:O22)</f>
        <v>74893.759999999995</v>
      </c>
      <c r="Q22" s="516"/>
      <c r="R22" s="421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</row>
    <row r="23" spans="3:29" s="3" customFormat="1" ht="12" customHeight="1">
      <c r="C23" s="64"/>
      <c r="D23" s="50"/>
      <c r="E23" s="50"/>
      <c r="F23" s="50"/>
      <c r="G23" s="195"/>
      <c r="H23" s="448"/>
      <c r="I23" s="265">
        <v>0</v>
      </c>
      <c r="J23" s="58"/>
      <c r="K23" s="71"/>
      <c r="L23" s="335"/>
      <c r="M23" s="61"/>
      <c r="N23" s="59"/>
      <c r="O23" s="71"/>
      <c r="P23" s="460">
        <f>SUM(I23:O23)</f>
        <v>0</v>
      </c>
      <c r="Q23" s="516"/>
      <c r="R23" s="421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</row>
    <row r="24" spans="3:29" s="370" customFormat="1" ht="12.75" customHeight="1">
      <c r="C24" s="368"/>
      <c r="D24" s="25" t="s">
        <v>59</v>
      </c>
      <c r="E24" s="25"/>
      <c r="F24" s="25"/>
      <c r="G24" s="369"/>
      <c r="H24" s="449">
        <f>P24*O1</f>
        <v>152396980.83840001</v>
      </c>
      <c r="I24" s="363">
        <f>SUM(I26:I36)</f>
        <v>184523.2</v>
      </c>
      <c r="J24" s="364"/>
      <c r="K24" s="365"/>
      <c r="L24" s="365"/>
      <c r="M24" s="366"/>
      <c r="N24" s="367"/>
      <c r="O24" s="365"/>
      <c r="P24" s="467">
        <f>SUM(P25:P36)</f>
        <v>109629.44</v>
      </c>
      <c r="Q24" s="517"/>
      <c r="R24" s="423"/>
    </row>
    <row r="25" spans="3:29" s="33" customFormat="1" ht="15" customHeight="1">
      <c r="C25" s="391"/>
      <c r="D25" s="392"/>
      <c r="E25" s="393"/>
      <c r="F25" s="52"/>
      <c r="G25" s="362"/>
      <c r="H25" s="455"/>
      <c r="I25" s="256">
        <v>0</v>
      </c>
      <c r="J25" s="133"/>
      <c r="K25" s="71"/>
      <c r="L25" s="334"/>
      <c r="M25" s="101"/>
      <c r="N25" s="71"/>
      <c r="O25" s="110"/>
      <c r="P25" s="460">
        <f t="shared" ref="P25" si="1">SUM(I25:O25)</f>
        <v>0</v>
      </c>
      <c r="Q25" s="468"/>
      <c r="R25" s="420"/>
    </row>
    <row r="26" spans="3:29" s="33" customFormat="1" ht="15" customHeight="1">
      <c r="C26" s="391"/>
      <c r="D26" s="392" t="s">
        <v>158</v>
      </c>
      <c r="E26" s="393"/>
      <c r="F26" s="52" t="s">
        <v>50</v>
      </c>
      <c r="G26" s="362"/>
      <c r="H26" s="455">
        <f>P26*O1</f>
        <v>0</v>
      </c>
      <c r="I26" s="256">
        <v>25397.5</v>
      </c>
      <c r="J26" s="59">
        <v>-25397.5</v>
      </c>
      <c r="K26" s="110"/>
      <c r="L26" s="334"/>
      <c r="M26" s="101"/>
      <c r="N26" s="110"/>
      <c r="O26" s="110"/>
      <c r="P26" s="460">
        <f t="shared" ref="P26:P36" si="2">SUM(I26:O26)</f>
        <v>0</v>
      </c>
      <c r="Q26" s="468"/>
      <c r="R26" s="420"/>
    </row>
    <row r="27" spans="3:29" s="33" customFormat="1" ht="15" customHeight="1">
      <c r="C27" s="391"/>
      <c r="D27" s="392" t="s">
        <v>159</v>
      </c>
      <c r="E27" s="393"/>
      <c r="F27" s="52" t="s">
        <v>50</v>
      </c>
      <c r="G27" s="362"/>
      <c r="H27" s="455">
        <f>P27*O1</f>
        <v>0</v>
      </c>
      <c r="I27" s="256">
        <v>24098.76</v>
      </c>
      <c r="J27" s="59">
        <v>-24098.76</v>
      </c>
      <c r="K27" s="110"/>
      <c r="L27" s="334"/>
      <c r="M27" s="101"/>
      <c r="N27" s="110"/>
      <c r="O27" s="110"/>
      <c r="P27" s="460">
        <f t="shared" si="2"/>
        <v>0</v>
      </c>
      <c r="Q27" s="468"/>
      <c r="R27" s="420"/>
    </row>
    <row r="28" spans="3:29" s="33" customFormat="1" ht="15" customHeight="1">
      <c r="C28" s="391"/>
      <c r="D28" s="392" t="s">
        <v>160</v>
      </c>
      <c r="E28" s="393"/>
      <c r="F28" s="52" t="s">
        <v>50</v>
      </c>
      <c r="G28" s="362"/>
      <c r="H28" s="455">
        <f>P28*O1</f>
        <v>0</v>
      </c>
      <c r="I28" s="256">
        <v>25397.5</v>
      </c>
      <c r="J28" s="59">
        <v>-25397.5</v>
      </c>
      <c r="K28" s="110"/>
      <c r="L28" s="334"/>
      <c r="M28" s="101"/>
      <c r="N28" s="110"/>
      <c r="O28" s="110"/>
      <c r="P28" s="460">
        <f t="shared" si="2"/>
        <v>0</v>
      </c>
      <c r="Q28" s="468"/>
      <c r="R28" s="420"/>
    </row>
    <row r="29" spans="3:29" s="33" customFormat="1" ht="15" customHeight="1">
      <c r="C29" s="391"/>
      <c r="D29" s="392" t="s">
        <v>161</v>
      </c>
      <c r="E29" s="393"/>
      <c r="F29" s="52" t="s">
        <v>50</v>
      </c>
      <c r="G29" s="362"/>
      <c r="H29" s="455">
        <f>P29*O1</f>
        <v>45280775.887199998</v>
      </c>
      <c r="I29" s="256">
        <v>32573.52</v>
      </c>
      <c r="J29" s="456"/>
      <c r="K29" s="110"/>
      <c r="L29" s="334"/>
      <c r="M29" s="101"/>
      <c r="N29" s="110"/>
      <c r="O29" s="110"/>
      <c r="P29" s="460">
        <f t="shared" si="2"/>
        <v>32573.52</v>
      </c>
      <c r="Q29" s="468"/>
      <c r="R29" s="420"/>
    </row>
    <row r="30" spans="3:29" s="33" customFormat="1" ht="15" customHeight="1">
      <c r="C30" s="391"/>
      <c r="D30" s="392" t="s">
        <v>168</v>
      </c>
      <c r="E30" s="393"/>
      <c r="F30" s="52" t="s">
        <v>50</v>
      </c>
      <c r="G30" s="362"/>
      <c r="H30" s="455">
        <f>P30*O1</f>
        <v>35305318.724999994</v>
      </c>
      <c r="I30" s="256">
        <v>25397.5</v>
      </c>
      <c r="J30" s="133"/>
      <c r="K30" s="110"/>
      <c r="L30" s="334"/>
      <c r="M30" s="101"/>
      <c r="N30" s="110"/>
      <c r="O30" s="110"/>
      <c r="P30" s="460">
        <f t="shared" si="2"/>
        <v>25397.5</v>
      </c>
      <c r="Q30" s="468"/>
      <c r="R30" s="420"/>
    </row>
    <row r="31" spans="3:29" s="33" customFormat="1" ht="15" customHeight="1">
      <c r="C31" s="391"/>
      <c r="D31" s="392" t="s">
        <v>169</v>
      </c>
      <c r="E31" s="393"/>
      <c r="F31" s="52" t="s">
        <v>50</v>
      </c>
      <c r="G31" s="362"/>
      <c r="H31" s="455">
        <f>P31*O1</f>
        <v>35305318.724999994</v>
      </c>
      <c r="I31" s="256">
        <v>25397.5</v>
      </c>
      <c r="J31" s="133"/>
      <c r="K31" s="110"/>
      <c r="L31" s="334"/>
      <c r="M31" s="101"/>
      <c r="N31" s="110"/>
      <c r="O31" s="110"/>
      <c r="P31" s="460">
        <f t="shared" si="2"/>
        <v>25397.5</v>
      </c>
      <c r="Q31" s="468"/>
      <c r="R31" s="420"/>
    </row>
    <row r="32" spans="3:29" s="33" customFormat="1" ht="15" customHeight="1">
      <c r="C32" s="391"/>
      <c r="D32" s="392" t="s">
        <v>170</v>
      </c>
      <c r="E32" s="393"/>
      <c r="F32" s="52" t="s">
        <v>50</v>
      </c>
      <c r="G32" s="538"/>
      <c r="H32" s="455">
        <f>P32*O1</f>
        <v>36505567.501199998</v>
      </c>
      <c r="I32" s="539">
        <v>26260.92</v>
      </c>
      <c r="J32" s="133"/>
      <c r="K32" s="110"/>
      <c r="L32" s="334"/>
      <c r="M32" s="101"/>
      <c r="N32" s="110"/>
      <c r="O32" s="110"/>
      <c r="P32" s="460">
        <f t="shared" si="2"/>
        <v>26260.92</v>
      </c>
      <c r="Q32" s="468"/>
      <c r="R32" s="420"/>
    </row>
    <row r="33" spans="2:18" s="33" customFormat="1" ht="15" customHeight="1">
      <c r="C33" s="391"/>
      <c r="D33" s="392"/>
      <c r="E33" s="393"/>
      <c r="F33" s="52"/>
      <c r="G33" s="362"/>
      <c r="H33" s="379"/>
      <c r="I33" s="256"/>
      <c r="J33" s="133"/>
      <c r="K33" s="110"/>
      <c r="L33" s="334"/>
      <c r="M33" s="101"/>
      <c r="N33" s="110"/>
      <c r="O33" s="110"/>
      <c r="P33" s="460">
        <f t="shared" si="2"/>
        <v>0</v>
      </c>
      <c r="Q33" s="468"/>
      <c r="R33" s="420"/>
    </row>
    <row r="34" spans="2:18" s="33" customFormat="1" ht="15" customHeight="1">
      <c r="C34" s="391"/>
      <c r="D34" s="392"/>
      <c r="E34" s="393"/>
      <c r="F34" s="52"/>
      <c r="G34" s="362"/>
      <c r="H34" s="379"/>
      <c r="I34" s="256"/>
      <c r="J34" s="133"/>
      <c r="K34" s="110"/>
      <c r="L34" s="334"/>
      <c r="M34" s="101"/>
      <c r="N34" s="110"/>
      <c r="O34" s="110"/>
      <c r="P34" s="460">
        <f t="shared" si="2"/>
        <v>0</v>
      </c>
      <c r="Q34" s="468"/>
      <c r="R34" s="420"/>
    </row>
    <row r="35" spans="2:18" s="33" customFormat="1" ht="15" customHeight="1">
      <c r="C35" s="391"/>
      <c r="D35" s="392"/>
      <c r="E35" s="393"/>
      <c r="F35" s="52"/>
      <c r="G35" s="362"/>
      <c r="H35" s="379"/>
      <c r="I35" s="256">
        <v>0</v>
      </c>
      <c r="J35" s="133"/>
      <c r="K35" s="110"/>
      <c r="L35" s="334"/>
      <c r="M35" s="101"/>
      <c r="N35" s="110"/>
      <c r="O35" s="110"/>
      <c r="P35" s="460">
        <f t="shared" si="2"/>
        <v>0</v>
      </c>
      <c r="Q35" s="468"/>
      <c r="R35" s="420"/>
    </row>
    <row r="36" spans="2:18" s="33" customFormat="1" ht="15" customHeight="1">
      <c r="B36" s="513"/>
      <c r="C36" s="392"/>
      <c r="D36" s="392"/>
      <c r="E36" s="393"/>
      <c r="F36" s="52"/>
      <c r="G36" s="362"/>
      <c r="H36" s="379"/>
      <c r="I36" s="256">
        <v>0</v>
      </c>
      <c r="J36" s="101"/>
      <c r="K36" s="71"/>
      <c r="L36" s="71"/>
      <c r="M36" s="61"/>
      <c r="N36" s="59"/>
      <c r="O36" s="271"/>
      <c r="P36" s="460">
        <f t="shared" si="2"/>
        <v>0</v>
      </c>
      <c r="Q36" s="468"/>
      <c r="R36" s="420"/>
    </row>
    <row r="37" spans="2:18" s="33" customFormat="1" ht="15" customHeight="1">
      <c r="B37" s="513"/>
      <c r="C37" s="511"/>
      <c r="D37" s="23" t="s">
        <v>122</v>
      </c>
      <c r="E37" s="24"/>
      <c r="F37" s="24"/>
      <c r="G37" s="73"/>
      <c r="H37" s="218"/>
      <c r="I37" s="258"/>
      <c r="J37" s="372"/>
      <c r="K37" s="73"/>
      <c r="L37" s="73"/>
      <c r="M37" s="74"/>
      <c r="N37" s="73"/>
      <c r="O37" s="73"/>
      <c r="P37" s="469"/>
      <c r="Q37" s="470">
        <f>SUM(P38:P44)</f>
        <v>0</v>
      </c>
      <c r="R37" s="420"/>
    </row>
    <row r="38" spans="2:18" s="33" customFormat="1" ht="15" customHeight="1">
      <c r="B38" s="513"/>
      <c r="C38" s="81" t="s">
        <v>123</v>
      </c>
      <c r="D38" s="81">
        <v>0</v>
      </c>
      <c r="E38" s="81"/>
      <c r="F38" s="81"/>
      <c r="G38" s="381"/>
      <c r="H38" s="388"/>
      <c r="I38" s="259">
        <v>0</v>
      </c>
      <c r="J38" s="101"/>
      <c r="K38" s="71"/>
      <c r="L38" s="71"/>
      <c r="M38" s="61"/>
      <c r="N38" s="59"/>
      <c r="O38" s="59"/>
      <c r="P38" s="471">
        <f>SUM(I38:O38)</f>
        <v>0</v>
      </c>
      <c r="Q38" s="472"/>
      <c r="R38" s="420"/>
    </row>
    <row r="39" spans="2:18" s="33" customFormat="1" ht="15" customHeight="1">
      <c r="B39" s="513"/>
      <c r="C39" s="50" t="s">
        <v>124</v>
      </c>
      <c r="D39" s="50">
        <v>0</v>
      </c>
      <c r="E39" s="50"/>
      <c r="F39" s="50"/>
      <c r="G39" s="381"/>
      <c r="H39" s="431"/>
      <c r="I39" s="254">
        <v>0</v>
      </c>
      <c r="J39" s="101"/>
      <c r="K39" s="71"/>
      <c r="L39" s="71"/>
      <c r="M39" s="61"/>
      <c r="N39" s="59"/>
      <c r="O39" s="271"/>
      <c r="P39" s="460">
        <f t="shared" ref="P39:P44" si="3">SUM(I39:O39)</f>
        <v>0</v>
      </c>
      <c r="Q39" s="473"/>
      <c r="R39" s="420"/>
    </row>
    <row r="40" spans="2:18" s="33" customFormat="1" ht="15" customHeight="1">
      <c r="B40" s="513"/>
      <c r="C40" s="50" t="s">
        <v>141</v>
      </c>
      <c r="D40" s="50">
        <v>0</v>
      </c>
      <c r="E40" s="50"/>
      <c r="F40" s="50"/>
      <c r="G40" s="381"/>
      <c r="H40" s="431"/>
      <c r="I40" s="254">
        <v>0</v>
      </c>
      <c r="J40" s="101"/>
      <c r="K40" s="71"/>
      <c r="L40" s="71"/>
      <c r="M40" s="61"/>
      <c r="N40" s="59"/>
      <c r="O40" s="271"/>
      <c r="P40" s="460">
        <v>0</v>
      </c>
      <c r="Q40" s="474"/>
      <c r="R40" s="420"/>
    </row>
    <row r="41" spans="2:18" s="33" customFormat="1" ht="15" customHeight="1">
      <c r="B41" s="513"/>
      <c r="C41" s="50" t="s">
        <v>126</v>
      </c>
      <c r="D41" s="50">
        <v>0</v>
      </c>
      <c r="E41" s="50"/>
      <c r="F41" s="50"/>
      <c r="G41" s="381"/>
      <c r="H41" s="431"/>
      <c r="I41" s="254">
        <v>0</v>
      </c>
      <c r="J41" s="101"/>
      <c r="K41" s="71"/>
      <c r="L41" s="71"/>
      <c r="M41" s="61"/>
      <c r="N41" s="59"/>
      <c r="O41" s="271"/>
      <c r="P41" s="460">
        <f t="shared" si="3"/>
        <v>0</v>
      </c>
      <c r="Q41" s="474"/>
      <c r="R41" s="420"/>
    </row>
    <row r="42" spans="2:18" s="33" customFormat="1" ht="15" customHeight="1">
      <c r="B42" s="513"/>
      <c r="C42" s="50" t="s">
        <v>134</v>
      </c>
      <c r="D42" s="50">
        <v>0</v>
      </c>
      <c r="E42" s="50"/>
      <c r="F42" s="50"/>
      <c r="G42" s="381"/>
      <c r="H42" s="431"/>
      <c r="I42" s="254">
        <v>0</v>
      </c>
      <c r="J42" s="101"/>
      <c r="K42" s="71"/>
      <c r="L42" s="71"/>
      <c r="M42" s="61"/>
      <c r="N42" s="59"/>
      <c r="O42" s="271"/>
      <c r="P42" s="460">
        <f t="shared" si="3"/>
        <v>0</v>
      </c>
      <c r="Q42" s="472"/>
      <c r="R42" s="420"/>
    </row>
    <row r="43" spans="2:18" s="33" customFormat="1" ht="15" customHeight="1">
      <c r="B43" s="513"/>
      <c r="C43" s="50" t="s">
        <v>138</v>
      </c>
      <c r="D43" s="50">
        <v>0</v>
      </c>
      <c r="E43" s="50"/>
      <c r="F43" s="50"/>
      <c r="G43" s="381"/>
      <c r="H43" s="431"/>
      <c r="I43" s="254">
        <v>0</v>
      </c>
      <c r="J43" s="101"/>
      <c r="K43" s="71"/>
      <c r="L43" s="71"/>
      <c r="M43" s="61"/>
      <c r="N43" s="59"/>
      <c r="O43" s="271"/>
      <c r="P43" s="460">
        <f t="shared" si="3"/>
        <v>0</v>
      </c>
      <c r="Q43" s="472"/>
      <c r="R43" s="420"/>
    </row>
    <row r="44" spans="2:18" s="33" customFormat="1" ht="15" customHeight="1">
      <c r="B44" s="513"/>
      <c r="C44" s="50" t="s">
        <v>142</v>
      </c>
      <c r="D44" s="50">
        <v>0</v>
      </c>
      <c r="E44" s="50"/>
      <c r="F44" s="50"/>
      <c r="G44" s="381"/>
      <c r="H44" s="431"/>
      <c r="I44" s="254">
        <v>0</v>
      </c>
      <c r="J44" s="101"/>
      <c r="K44" s="71"/>
      <c r="L44" s="71"/>
      <c r="M44" s="61"/>
      <c r="N44" s="59"/>
      <c r="O44" s="271"/>
      <c r="P44" s="460">
        <f t="shared" si="3"/>
        <v>0</v>
      </c>
      <c r="Q44" s="472"/>
      <c r="R44" s="420"/>
    </row>
    <row r="45" spans="2:18" s="33" customFormat="1" ht="15" customHeight="1">
      <c r="B45" s="513"/>
      <c r="C45" s="50"/>
      <c r="D45" s="392"/>
      <c r="E45" s="393"/>
      <c r="F45" s="52"/>
      <c r="G45" s="362"/>
      <c r="H45" s="379"/>
      <c r="I45" s="256"/>
      <c r="J45" s="101"/>
      <c r="K45" s="71"/>
      <c r="L45" s="71"/>
      <c r="M45" s="61"/>
      <c r="N45" s="59"/>
      <c r="O45" s="271"/>
      <c r="P45" s="460"/>
      <c r="Q45" s="473"/>
      <c r="R45" s="420"/>
    </row>
    <row r="46" spans="2:18" s="33" customFormat="1" ht="15" customHeight="1">
      <c r="B46" s="513"/>
      <c r="C46" s="511"/>
      <c r="D46" s="23" t="s">
        <v>44</v>
      </c>
      <c r="E46" s="24"/>
      <c r="F46" s="24"/>
      <c r="G46" s="73"/>
      <c r="H46" s="218"/>
      <c r="I46" s="258"/>
      <c r="J46" s="372"/>
      <c r="K46" s="73"/>
      <c r="L46" s="73"/>
      <c r="M46" s="74"/>
      <c r="N46" s="73"/>
      <c r="O46" s="73"/>
      <c r="P46" s="469"/>
      <c r="Q46" s="470">
        <f>SUM(P47:P51)</f>
        <v>0</v>
      </c>
      <c r="R46" s="420"/>
    </row>
    <row r="47" spans="2:18" s="33" customFormat="1" ht="15" customHeight="1">
      <c r="B47" s="513"/>
      <c r="C47" s="50" t="s">
        <v>61</v>
      </c>
      <c r="D47" s="81" t="s">
        <v>147</v>
      </c>
      <c r="E47" s="81"/>
      <c r="F47" s="81"/>
      <c r="G47" s="381"/>
      <c r="H47" s="388"/>
      <c r="I47" s="259">
        <v>0</v>
      </c>
      <c r="J47" s="101"/>
      <c r="K47" s="71"/>
      <c r="L47" s="71"/>
      <c r="M47" s="61"/>
      <c r="N47" s="59"/>
      <c r="O47" s="59"/>
      <c r="P47" s="471">
        <f>SUM(I47:O47)</f>
        <v>0</v>
      </c>
      <c r="Q47" s="472"/>
      <c r="R47" s="420"/>
    </row>
    <row r="48" spans="2:18" s="33" customFormat="1" ht="15" customHeight="1">
      <c r="B48" s="513"/>
      <c r="C48" s="50"/>
      <c r="D48" s="81" t="s">
        <v>143</v>
      </c>
      <c r="E48" s="81"/>
      <c r="F48" s="81"/>
      <c r="G48" s="381"/>
      <c r="H48" s="388"/>
      <c r="I48" s="259"/>
      <c r="J48" s="71"/>
      <c r="K48" s="71"/>
      <c r="L48" s="71"/>
      <c r="M48" s="61"/>
      <c r="N48" s="59"/>
      <c r="O48" s="71"/>
      <c r="P48" s="471">
        <f t="shared" ref="P48:P49" si="4">SUM(I48:O48)</f>
        <v>0</v>
      </c>
      <c r="Q48" s="472"/>
      <c r="R48" s="420"/>
    </row>
    <row r="49" spans="2:18" s="33" customFormat="1" ht="15" customHeight="1">
      <c r="B49" s="513"/>
      <c r="C49" s="50"/>
      <c r="D49" s="81" t="s">
        <v>144</v>
      </c>
      <c r="E49" s="81"/>
      <c r="F49" s="81"/>
      <c r="G49" s="381"/>
      <c r="H49" s="388"/>
      <c r="I49" s="259"/>
      <c r="J49" s="71"/>
      <c r="K49" s="71"/>
      <c r="L49" s="71"/>
      <c r="M49" s="61"/>
      <c r="N49" s="59"/>
      <c r="O49" s="71"/>
      <c r="P49" s="471">
        <f t="shared" si="4"/>
        <v>0</v>
      </c>
      <c r="Q49" s="472"/>
      <c r="R49" s="420"/>
    </row>
    <row r="50" spans="2:18" s="33" customFormat="1" ht="15" customHeight="1">
      <c r="B50" s="513"/>
      <c r="C50" s="50" t="s">
        <v>128</v>
      </c>
      <c r="D50" s="81" t="s">
        <v>148</v>
      </c>
      <c r="E50" s="81"/>
      <c r="F50" s="81"/>
      <c r="G50" s="381"/>
      <c r="H50" s="388"/>
      <c r="I50" s="259">
        <v>0</v>
      </c>
      <c r="J50" s="101"/>
      <c r="K50" s="71"/>
      <c r="L50" s="71"/>
      <c r="M50" s="61"/>
      <c r="N50" s="59"/>
      <c r="O50" s="71"/>
      <c r="P50" s="471">
        <f>SUM(I50:O50)</f>
        <v>0</v>
      </c>
      <c r="Q50" s="472"/>
      <c r="R50" s="420"/>
    </row>
    <row r="51" spans="2:18" s="33" customFormat="1" ht="15" customHeight="1">
      <c r="B51" s="513"/>
      <c r="C51" s="50"/>
      <c r="D51" s="2"/>
      <c r="E51" s="2"/>
      <c r="F51" s="50"/>
      <c r="G51" s="195"/>
      <c r="H51" s="240"/>
      <c r="I51" s="265"/>
      <c r="J51" s="101"/>
      <c r="K51" s="71"/>
      <c r="L51" s="71"/>
      <c r="M51" s="61"/>
      <c r="N51" s="59"/>
      <c r="O51" s="271"/>
      <c r="P51" s="460"/>
      <c r="Q51" s="518"/>
      <c r="R51" s="420"/>
    </row>
    <row r="52" spans="2:18" s="33" customFormat="1" ht="15" customHeight="1">
      <c r="B52" s="513"/>
      <c r="C52" s="512" t="s">
        <v>5</v>
      </c>
      <c r="D52" s="341" t="s">
        <v>60</v>
      </c>
      <c r="E52" s="28"/>
      <c r="F52" s="28"/>
      <c r="G52" s="205"/>
      <c r="H52" s="219"/>
      <c r="I52" s="260"/>
      <c r="J52" s="244"/>
      <c r="K52" s="86"/>
      <c r="L52" s="87"/>
      <c r="M52" s="88"/>
      <c r="N52" s="86"/>
      <c r="O52" s="87"/>
      <c r="P52" s="475"/>
      <c r="Q52" s="519">
        <f>SUM(P53:P54)</f>
        <v>0</v>
      </c>
      <c r="R52" s="420"/>
    </row>
    <row r="53" spans="2:18" s="33" customFormat="1" ht="15" customHeight="1">
      <c r="B53" s="513"/>
      <c r="C53" s="50"/>
      <c r="D53" s="50">
        <v>0</v>
      </c>
      <c r="E53" s="50"/>
      <c r="F53" s="50"/>
      <c r="G53" s="195"/>
      <c r="H53" s="240"/>
      <c r="I53" s="254">
        <v>0</v>
      </c>
      <c r="J53" s="101"/>
      <c r="K53" s="71"/>
      <c r="L53" s="71"/>
      <c r="M53" s="61"/>
      <c r="N53" s="59"/>
      <c r="O53" s="271"/>
      <c r="P53" s="460">
        <f>SUM(I53:O53)</f>
        <v>0</v>
      </c>
      <c r="Q53" s="516"/>
      <c r="R53" s="420"/>
    </row>
    <row r="54" spans="2:18" s="33" customFormat="1" ht="15" customHeight="1">
      <c r="C54" s="64"/>
      <c r="D54" s="50"/>
      <c r="E54" s="53"/>
      <c r="F54" s="52"/>
      <c r="G54" s="195"/>
      <c r="H54" s="240"/>
      <c r="I54" s="257">
        <v>0</v>
      </c>
      <c r="J54" s="245"/>
      <c r="K54" s="76"/>
      <c r="L54" s="77"/>
      <c r="M54" s="78"/>
      <c r="N54" s="76"/>
      <c r="O54" s="274"/>
      <c r="P54" s="476">
        <f>SUM(I54:O54)</f>
        <v>0</v>
      </c>
      <c r="Q54" s="520"/>
      <c r="R54" s="420"/>
    </row>
    <row r="55" spans="2:18" s="33" customFormat="1" ht="15" customHeight="1">
      <c r="C55" s="4"/>
      <c r="D55" s="5" t="s">
        <v>12</v>
      </c>
      <c r="E55" s="6"/>
      <c r="F55" s="6"/>
      <c r="G55" s="197"/>
      <c r="H55" s="220"/>
      <c r="I55" s="261"/>
      <c r="J55" s="246"/>
      <c r="K55" s="89"/>
      <c r="L55" s="90"/>
      <c r="M55" s="91"/>
      <c r="N55" s="89"/>
      <c r="O55" s="275"/>
      <c r="P55" s="478"/>
      <c r="Q55" s="521"/>
      <c r="R55" s="420"/>
    </row>
    <row r="56" spans="2:18" s="33" customFormat="1" ht="15" customHeight="1" thickBot="1">
      <c r="C56" s="38"/>
      <c r="D56" s="39" t="s">
        <v>17</v>
      </c>
      <c r="E56" s="40"/>
      <c r="F56" s="40"/>
      <c r="G56" s="198"/>
      <c r="H56" s="221"/>
      <c r="I56" s="433"/>
      <c r="J56" s="247"/>
      <c r="K56" s="92"/>
      <c r="L56" s="93"/>
      <c r="M56" s="94"/>
      <c r="N56" s="92"/>
      <c r="O56" s="93"/>
      <c r="P56" s="479"/>
      <c r="Q56" s="480">
        <f>Q2+Q9+Q13+Q17+Q20+Q46+Q55+Q52+Q37</f>
        <v>322188.36124398059</v>
      </c>
      <c r="R56" s="420"/>
    </row>
    <row r="57" spans="2:18" s="33" customFormat="1" ht="15" customHeight="1" thickTop="1">
      <c r="C57" s="95"/>
      <c r="D57" s="7"/>
      <c r="E57" s="7"/>
      <c r="F57" s="7"/>
      <c r="G57" s="206"/>
      <c r="H57" s="222"/>
      <c r="I57" s="262"/>
      <c r="J57" s="96"/>
      <c r="K57" s="97"/>
      <c r="L57" s="97"/>
      <c r="M57" s="96"/>
      <c r="N57" s="97"/>
      <c r="O57" s="97"/>
      <c r="P57" s="481"/>
      <c r="Q57" s="482"/>
      <c r="R57" s="420"/>
    </row>
    <row r="58" spans="2:18" s="33" customFormat="1" ht="15" customHeight="1" thickBot="1">
      <c r="C58" s="99" t="s">
        <v>1</v>
      </c>
      <c r="D58" s="54" t="s">
        <v>47</v>
      </c>
      <c r="E58" s="55"/>
      <c r="F58" s="55"/>
      <c r="G58" s="207"/>
      <c r="H58" s="223"/>
      <c r="I58" s="263">
        <f>I1</f>
        <v>45990</v>
      </c>
      <c r="J58" s="531"/>
      <c r="K58" s="531"/>
      <c r="L58" s="531"/>
      <c r="M58" s="531"/>
      <c r="N58" s="531"/>
      <c r="O58" s="531"/>
      <c r="P58" s="483">
        <f>P1</f>
        <v>46022</v>
      </c>
      <c r="Q58" s="484" t="s">
        <v>2</v>
      </c>
      <c r="R58" s="420"/>
    </row>
    <row r="59" spans="2:18" s="33" customFormat="1" ht="15" customHeight="1" thickTop="1">
      <c r="C59" s="8" t="s">
        <v>8</v>
      </c>
      <c r="D59" s="9" t="s">
        <v>0</v>
      </c>
      <c r="E59" s="9"/>
      <c r="F59" s="280"/>
      <c r="G59" s="281"/>
      <c r="H59" s="282"/>
      <c r="I59" s="264"/>
      <c r="J59" s="434"/>
      <c r="K59" s="434"/>
      <c r="L59" s="435"/>
      <c r="M59" s="436"/>
      <c r="N59" s="436"/>
      <c r="O59" s="436"/>
      <c r="P59" s="485"/>
      <c r="Q59" s="486">
        <f>SUM(P60:P72)</f>
        <v>129433.79</v>
      </c>
      <c r="R59" s="420"/>
    </row>
    <row r="60" spans="2:18" s="33" customFormat="1" ht="15" customHeight="1">
      <c r="C60" s="100" t="s">
        <v>62</v>
      </c>
      <c r="D60" s="81" t="s">
        <v>57</v>
      </c>
      <c r="E60" s="389"/>
      <c r="F60" s="288"/>
      <c r="G60" s="382"/>
      <c r="H60" s="290"/>
      <c r="I60" s="344">
        <v>0</v>
      </c>
      <c r="J60" s="111"/>
      <c r="K60" s="338"/>
      <c r="L60" s="110"/>
      <c r="M60" s="111"/>
      <c r="N60" s="112"/>
      <c r="O60" s="277"/>
      <c r="P60" s="487">
        <f>SUM(I60:O60)</f>
        <v>0</v>
      </c>
      <c r="Q60" s="488"/>
      <c r="R60" s="420"/>
    </row>
    <row r="61" spans="2:18" s="33" customFormat="1" ht="15" customHeight="1">
      <c r="C61" s="100" t="s">
        <v>63</v>
      </c>
      <c r="D61" s="527" t="s">
        <v>162</v>
      </c>
      <c r="E61" s="527"/>
      <c r="F61" s="527"/>
      <c r="G61" s="382"/>
      <c r="H61" s="290"/>
      <c r="I61" s="344">
        <v>0</v>
      </c>
      <c r="J61" s="383"/>
      <c r="K61" s="342"/>
      <c r="L61" s="343"/>
      <c r="M61" s="342"/>
      <c r="N61" s="112"/>
      <c r="O61" s="277"/>
      <c r="P61" s="487">
        <f>SUM(I61:O61)</f>
        <v>0</v>
      </c>
      <c r="Q61" s="489"/>
      <c r="R61" s="420"/>
    </row>
    <row r="62" spans="2:18" s="33" customFormat="1" ht="15" customHeight="1">
      <c r="C62" s="100"/>
      <c r="D62" s="340"/>
      <c r="E62" s="288"/>
      <c r="F62" s="288"/>
      <c r="G62" s="289"/>
      <c r="H62" s="290"/>
      <c r="I62" s="267">
        <v>0</v>
      </c>
      <c r="J62" s="383"/>
      <c r="K62" s="342"/>
      <c r="L62" s="343"/>
      <c r="M62" s="111"/>
      <c r="N62" s="112"/>
      <c r="O62" s="277"/>
      <c r="P62" s="490">
        <f>SUM(I62:O62)</f>
        <v>0</v>
      </c>
      <c r="Q62" s="491"/>
      <c r="R62" s="420"/>
    </row>
    <row r="63" spans="2:18" s="33" customFormat="1" ht="15" customHeight="1">
      <c r="C63" s="100"/>
      <c r="D63" s="340"/>
      <c r="E63" s="288"/>
      <c r="F63" s="288"/>
      <c r="G63" s="289"/>
      <c r="H63" s="290"/>
      <c r="I63" s="267">
        <v>0</v>
      </c>
      <c r="J63" s="336"/>
      <c r="K63" s="66"/>
      <c r="L63" s="133"/>
      <c r="M63" s="111"/>
      <c r="N63" s="112"/>
      <c r="O63" s="277"/>
      <c r="P63" s="490">
        <f>SUM(I63:O63)</f>
        <v>0</v>
      </c>
      <c r="Q63" s="491"/>
      <c r="R63" s="420"/>
    </row>
    <row r="64" spans="2:18" s="33" customFormat="1" ht="15" customHeight="1">
      <c r="C64" s="100"/>
      <c r="D64" s="339"/>
      <c r="E64" s="288"/>
      <c r="F64" s="288"/>
      <c r="G64" s="289"/>
      <c r="H64" s="290"/>
      <c r="I64" s="267"/>
      <c r="J64" s="336"/>
      <c r="K64" s="76"/>
      <c r="L64" s="110"/>
      <c r="M64" s="111"/>
      <c r="N64" s="112"/>
      <c r="O64" s="277"/>
      <c r="P64" s="490"/>
      <c r="Q64" s="491"/>
      <c r="R64" s="420"/>
    </row>
    <row r="65" spans="3:18" s="33" customFormat="1" ht="15" customHeight="1">
      <c r="C65" s="103"/>
      <c r="D65" s="284" t="s">
        <v>28</v>
      </c>
      <c r="E65" s="284"/>
      <c r="F65" s="285"/>
      <c r="G65" s="286"/>
      <c r="H65" s="287"/>
      <c r="I65" s="266"/>
      <c r="J65" s="249"/>
      <c r="K65" s="104"/>
      <c r="L65" s="105"/>
      <c r="M65" s="106"/>
      <c r="N65" s="107"/>
      <c r="O65" s="276"/>
      <c r="P65" s="492"/>
      <c r="Q65" s="493"/>
      <c r="R65" s="420"/>
    </row>
    <row r="66" spans="3:18" s="33" customFormat="1" ht="15" customHeight="1">
      <c r="C66" s="375"/>
      <c r="D66" s="376"/>
      <c r="E66" s="377"/>
      <c r="F66" s="377"/>
      <c r="G66" s="289"/>
      <c r="H66" s="378"/>
      <c r="I66" s="267">
        <v>0</v>
      </c>
      <c r="J66" s="248"/>
      <c r="K66" s="109"/>
      <c r="L66" s="110"/>
      <c r="M66" s="111"/>
      <c r="N66" s="112"/>
      <c r="O66" s="277"/>
      <c r="P66" s="490">
        <f>SUM(I66:O66)</f>
        <v>0</v>
      </c>
      <c r="Q66" s="491"/>
      <c r="R66" s="420"/>
    </row>
    <row r="67" spans="3:18" s="33" customFormat="1" ht="15" customHeight="1">
      <c r="C67" s="103"/>
      <c r="D67" s="284" t="s">
        <v>30</v>
      </c>
      <c r="E67" s="284"/>
      <c r="F67" s="285"/>
      <c r="G67" s="286"/>
      <c r="H67" s="287"/>
      <c r="I67" s="266"/>
      <c r="J67" s="249"/>
      <c r="K67" s="104"/>
      <c r="L67" s="105"/>
      <c r="M67" s="106"/>
      <c r="N67" s="107"/>
      <c r="O67" s="276"/>
      <c r="P67" s="492"/>
      <c r="Q67" s="493"/>
      <c r="R67" s="420"/>
    </row>
    <row r="68" spans="3:18" s="33" customFormat="1" ht="15" customHeight="1">
      <c r="C68" s="64" t="s">
        <v>66</v>
      </c>
      <c r="D68" s="81" t="s">
        <v>67</v>
      </c>
      <c r="E68" s="293"/>
      <c r="F68" s="294"/>
      <c r="G68" s="295"/>
      <c r="H68" s="394"/>
      <c r="I68" s="254">
        <v>0</v>
      </c>
      <c r="J68" s="250"/>
      <c r="K68" s="338"/>
      <c r="L68" s="71"/>
      <c r="M68" s="102"/>
      <c r="N68" s="59"/>
      <c r="O68" s="271"/>
      <c r="P68" s="460">
        <f>SUM(I68:O68)</f>
        <v>0</v>
      </c>
      <c r="Q68" s="489"/>
      <c r="R68" s="420"/>
    </row>
    <row r="69" spans="3:18" s="33" customFormat="1" ht="15" customHeight="1">
      <c r="C69" s="64" t="s">
        <v>64</v>
      </c>
      <c r="D69" s="51" t="s">
        <v>149</v>
      </c>
      <c r="E69" s="293"/>
      <c r="F69" s="294"/>
      <c r="G69" s="295"/>
      <c r="H69" s="296"/>
      <c r="I69" s="254">
        <v>0</v>
      </c>
      <c r="J69" s="59"/>
      <c r="K69" s="342"/>
      <c r="L69" s="72"/>
      <c r="M69" s="102"/>
      <c r="N69" s="59"/>
      <c r="O69" s="271"/>
      <c r="P69" s="460">
        <f>SUM(I69:O69)</f>
        <v>0</v>
      </c>
      <c r="Q69" s="488"/>
      <c r="R69" s="420"/>
    </row>
    <row r="70" spans="3:18" s="33" customFormat="1" ht="15" customHeight="1">
      <c r="C70" s="64" t="s">
        <v>65</v>
      </c>
      <c r="D70" s="51" t="s">
        <v>150</v>
      </c>
      <c r="E70" s="293"/>
      <c r="G70" s="295"/>
      <c r="H70" s="296"/>
      <c r="I70" s="254">
        <v>0</v>
      </c>
      <c r="J70" s="384"/>
      <c r="K70" s="342"/>
      <c r="L70" s="72"/>
      <c r="M70" s="102"/>
      <c r="N70" s="59"/>
      <c r="O70" s="271"/>
      <c r="P70" s="460">
        <f>SUM(I70:O70)</f>
        <v>0</v>
      </c>
      <c r="Q70" s="488"/>
      <c r="R70" s="420"/>
    </row>
    <row r="71" spans="3:18" s="33" customFormat="1" ht="15" customHeight="1">
      <c r="C71" s="64" t="s">
        <v>84</v>
      </c>
      <c r="D71" s="81" t="s">
        <v>85</v>
      </c>
      <c r="E71" s="293"/>
      <c r="F71" s="294"/>
      <c r="G71" s="295"/>
      <c r="H71" s="394"/>
      <c r="I71" s="254">
        <v>0</v>
      </c>
      <c r="J71" s="523">
        <v>129433.79</v>
      </c>
      <c r="K71" s="338"/>
      <c r="L71" s="110"/>
      <c r="M71" s="111"/>
      <c r="N71" s="112"/>
      <c r="O71" s="277"/>
      <c r="P71" s="460">
        <f>SUM(I71:O71)</f>
        <v>129433.79</v>
      </c>
      <c r="Q71" s="488"/>
      <c r="R71" s="420"/>
    </row>
    <row r="72" spans="3:18" s="33" customFormat="1" ht="15" customHeight="1">
      <c r="C72" s="64"/>
      <c r="D72" s="292"/>
      <c r="E72" s="297"/>
      <c r="F72" s="298"/>
      <c r="G72" s="299"/>
      <c r="H72" s="296"/>
      <c r="I72" s="254">
        <v>0</v>
      </c>
      <c r="J72" s="250"/>
      <c r="K72" s="72"/>
      <c r="L72" s="71"/>
      <c r="M72" s="102"/>
      <c r="N72" s="59"/>
      <c r="O72" s="271"/>
      <c r="P72" s="460">
        <f>SUM(I72:O72)</f>
        <v>0</v>
      </c>
      <c r="Q72" s="488"/>
      <c r="R72" s="420"/>
    </row>
    <row r="73" spans="3:18" s="33" customFormat="1" ht="15" customHeight="1">
      <c r="C73" s="103"/>
      <c r="D73" s="284" t="s">
        <v>45</v>
      </c>
      <c r="E73" s="284"/>
      <c r="F73" s="285"/>
      <c r="G73" s="286"/>
      <c r="H73" s="287"/>
      <c r="I73" s="266"/>
      <c r="J73" s="249"/>
      <c r="K73" s="104"/>
      <c r="L73" s="105"/>
      <c r="M73" s="106"/>
      <c r="N73" s="107"/>
      <c r="O73" s="276"/>
      <c r="P73" s="492"/>
      <c r="Q73" s="493">
        <f>SUM(P74:P75)</f>
        <v>0</v>
      </c>
      <c r="R73" s="420"/>
    </row>
    <row r="74" spans="3:18" s="33" customFormat="1" ht="15" customHeight="1">
      <c r="C74" s="100"/>
      <c r="D74" s="527"/>
      <c r="E74" s="527"/>
      <c r="F74" s="527"/>
      <c r="G74" s="382"/>
      <c r="H74" s="290"/>
      <c r="I74" s="344">
        <v>0</v>
      </c>
      <c r="J74" s="337"/>
      <c r="K74" s="338"/>
      <c r="L74" s="110"/>
      <c r="M74" s="111"/>
      <c r="N74" s="112"/>
      <c r="O74" s="277"/>
      <c r="P74" s="487">
        <f>SUM(I74:O74)</f>
        <v>0</v>
      </c>
      <c r="Q74" s="489"/>
      <c r="R74" s="420"/>
    </row>
    <row r="75" spans="3:18" s="33" customFormat="1" ht="15" customHeight="1">
      <c r="C75" s="83"/>
      <c r="D75" s="292"/>
      <c r="E75" s="297"/>
      <c r="F75" s="298"/>
      <c r="G75" s="299"/>
      <c r="H75" s="296"/>
      <c r="I75" s="254">
        <v>0</v>
      </c>
      <c r="J75" s="250"/>
      <c r="K75" s="72"/>
      <c r="L75" s="71"/>
      <c r="M75" s="102"/>
      <c r="N75" s="59"/>
      <c r="O75" s="271"/>
      <c r="P75" s="460">
        <f>SUM(I75:O75)</f>
        <v>0</v>
      </c>
      <c r="Q75" s="494"/>
      <c r="R75" s="420"/>
    </row>
    <row r="76" spans="3:18" s="33" customFormat="1" ht="15" customHeight="1">
      <c r="C76" s="115"/>
      <c r="D76" s="300" t="s">
        <v>46</v>
      </c>
      <c r="E76" s="300"/>
      <c r="F76" s="300"/>
      <c r="G76" s="301"/>
      <c r="H76" s="507">
        <f>SUM(H79:H83)</f>
        <v>148362659.20079997</v>
      </c>
      <c r="I76" s="268">
        <v>0</v>
      </c>
      <c r="J76" s="116"/>
      <c r="K76" s="117"/>
      <c r="L76" s="118"/>
      <c r="M76" s="119"/>
      <c r="N76" s="120"/>
      <c r="O76" s="278"/>
      <c r="P76" s="495">
        <f>SUM(I76:O76)</f>
        <v>0</v>
      </c>
      <c r="Q76" s="493">
        <f>SUM(P77:P83)</f>
        <v>106727.28</v>
      </c>
      <c r="R76" s="420"/>
    </row>
    <row r="77" spans="3:18" s="33" customFormat="1" ht="15" customHeight="1">
      <c r="C77" s="122"/>
      <c r="D77" s="291" t="s">
        <v>49</v>
      </c>
      <c r="E77" s="55"/>
      <c r="F77" s="302"/>
      <c r="G77" s="330"/>
      <c r="H77" s="303"/>
      <c r="I77" s="256">
        <v>0</v>
      </c>
      <c r="J77" s="101"/>
      <c r="K77" s="71"/>
      <c r="L77" s="331"/>
      <c r="M77" s="101"/>
      <c r="N77" s="71"/>
      <c r="O77" s="71"/>
      <c r="P77" s="460">
        <f>SUM(I77:O77)</f>
        <v>0</v>
      </c>
      <c r="Q77" s="477"/>
      <c r="R77" s="420"/>
    </row>
    <row r="78" spans="3:18" s="33" customFormat="1" ht="15" customHeight="1">
      <c r="C78" s="391"/>
      <c r="D78" s="392"/>
      <c r="E78" s="393"/>
      <c r="F78" s="52"/>
      <c r="G78" s="362"/>
      <c r="H78" s="379"/>
      <c r="I78" s="256">
        <v>0</v>
      </c>
      <c r="J78" s="133"/>
      <c r="K78" s="110"/>
      <c r="L78" s="334"/>
      <c r="M78" s="101"/>
      <c r="N78" s="110"/>
      <c r="O78" s="110"/>
      <c r="P78" s="460">
        <f t="shared" ref="P78" si="5">SUM(I78:O78)</f>
        <v>0</v>
      </c>
      <c r="Q78" s="468"/>
      <c r="R78" s="420"/>
    </row>
    <row r="79" spans="3:18" s="33" customFormat="1" ht="15" customHeight="1">
      <c r="C79" s="391"/>
      <c r="D79" s="392" t="s">
        <v>158</v>
      </c>
      <c r="E79" s="393"/>
      <c r="F79" s="52" t="s">
        <v>50</v>
      </c>
      <c r="G79" s="362"/>
      <c r="H79" s="508">
        <f>P79*O1</f>
        <v>35305318.724999994</v>
      </c>
      <c r="I79" s="256">
        <v>0</v>
      </c>
      <c r="J79" s="456">
        <v>25397.5</v>
      </c>
      <c r="K79" s="110"/>
      <c r="L79" s="334"/>
      <c r="M79" s="101"/>
      <c r="N79" s="110"/>
      <c r="O79" s="110"/>
      <c r="P79" s="460">
        <f t="shared" ref="P79:P83" si="6">SUM(I79:O79)</f>
        <v>25397.5</v>
      </c>
      <c r="Q79" s="468"/>
      <c r="R79" s="420"/>
    </row>
    <row r="80" spans="3:18" s="33" customFormat="1" ht="15" customHeight="1">
      <c r="C80" s="391"/>
      <c r="D80" s="392" t="s">
        <v>159</v>
      </c>
      <c r="E80" s="393"/>
      <c r="F80" s="52" t="s">
        <v>50</v>
      </c>
      <c r="G80" s="362"/>
      <c r="H80" s="508">
        <f>P80*O1</f>
        <v>33499927.263599996</v>
      </c>
      <c r="I80" s="256"/>
      <c r="J80" s="456">
        <v>24098.76</v>
      </c>
      <c r="K80" s="110"/>
      <c r="L80" s="334"/>
      <c r="M80" s="101"/>
      <c r="N80" s="110"/>
      <c r="O80" s="110"/>
      <c r="P80" s="460">
        <f t="shared" si="6"/>
        <v>24098.76</v>
      </c>
      <c r="Q80" s="468"/>
      <c r="R80" s="420"/>
    </row>
    <row r="81" spans="3:18" s="33" customFormat="1" ht="15" customHeight="1">
      <c r="C81" s="391"/>
      <c r="D81" s="392" t="s">
        <v>160</v>
      </c>
      <c r="E81" s="393"/>
      <c r="F81" s="52" t="s">
        <v>50</v>
      </c>
      <c r="G81" s="362"/>
      <c r="H81" s="508">
        <f>P81*O1</f>
        <v>34276637.324999996</v>
      </c>
      <c r="I81" s="256"/>
      <c r="J81" s="456">
        <v>24657.5</v>
      </c>
      <c r="K81" s="110"/>
      <c r="L81" s="334"/>
      <c r="M81" s="101"/>
      <c r="N81" s="110"/>
      <c r="O81" s="110"/>
      <c r="P81" s="460">
        <f t="shared" si="6"/>
        <v>24657.5</v>
      </c>
      <c r="Q81" s="468"/>
      <c r="R81" s="420"/>
    </row>
    <row r="82" spans="3:18" s="33" customFormat="1" ht="15" customHeight="1">
      <c r="C82" s="391"/>
      <c r="D82" s="392" t="s">
        <v>161</v>
      </c>
      <c r="E82" s="393"/>
      <c r="F82" s="52" t="s">
        <v>50</v>
      </c>
      <c r="G82" s="362"/>
      <c r="H82" s="508">
        <f>P82*O1</f>
        <v>45280775.887199998</v>
      </c>
      <c r="I82" s="256"/>
      <c r="J82" s="456">
        <v>32573.52</v>
      </c>
      <c r="K82" s="110"/>
      <c r="L82" s="334"/>
      <c r="M82" s="101"/>
      <c r="N82" s="110"/>
      <c r="O82" s="110"/>
      <c r="P82" s="460">
        <f t="shared" si="6"/>
        <v>32573.52</v>
      </c>
      <c r="Q82" s="468"/>
      <c r="R82" s="420"/>
    </row>
    <row r="83" spans="3:18" s="33" customFormat="1" ht="15" customHeight="1">
      <c r="C83" s="391"/>
      <c r="D83" s="392"/>
      <c r="E83" s="393"/>
      <c r="F83" s="52"/>
      <c r="G83" s="362"/>
      <c r="H83" s="379"/>
      <c r="I83" s="256">
        <v>0</v>
      </c>
      <c r="J83" s="133"/>
      <c r="K83" s="110"/>
      <c r="L83" s="334"/>
      <c r="M83" s="101"/>
      <c r="N83" s="110"/>
      <c r="O83" s="110"/>
      <c r="P83" s="460">
        <f t="shared" si="6"/>
        <v>0</v>
      </c>
      <c r="Q83" s="468"/>
      <c r="R83" s="420"/>
    </row>
    <row r="84" spans="3:18" s="33" customFormat="1" ht="15" customHeight="1">
      <c r="C84" s="103"/>
      <c r="D84" s="284" t="s">
        <v>29</v>
      </c>
      <c r="E84" s="284"/>
      <c r="F84" s="285"/>
      <c r="G84" s="286"/>
      <c r="H84" s="287"/>
      <c r="I84" s="266">
        <v>0</v>
      </c>
      <c r="J84" s="249"/>
      <c r="K84" s="104"/>
      <c r="L84" s="105"/>
      <c r="M84" s="106"/>
      <c r="N84" s="107"/>
      <c r="O84" s="276"/>
      <c r="P84" s="492">
        <f>SUM(I84:O84)</f>
        <v>0</v>
      </c>
      <c r="Q84" s="496">
        <f>SUM(P85:P87)</f>
        <v>0</v>
      </c>
      <c r="R84" s="420"/>
    </row>
    <row r="85" spans="3:18" s="33" customFormat="1" ht="15" customHeight="1">
      <c r="C85" s="123"/>
      <c r="D85" s="292"/>
      <c r="E85" s="293"/>
      <c r="F85" s="294"/>
      <c r="G85" s="295"/>
      <c r="H85" s="296"/>
      <c r="I85" s="254">
        <v>0</v>
      </c>
      <c r="J85" s="250"/>
      <c r="K85" s="72"/>
      <c r="L85" s="71"/>
      <c r="M85" s="102"/>
      <c r="N85" s="59"/>
      <c r="O85" s="271"/>
      <c r="P85" s="460">
        <f>SUM(I85:O85)</f>
        <v>0</v>
      </c>
      <c r="Q85" s="497">
        <f>SUM(P85:P86)</f>
        <v>0</v>
      </c>
      <c r="R85" s="420"/>
    </row>
    <row r="86" spans="3:18" s="33" customFormat="1" ht="15" customHeight="1">
      <c r="C86" s="123"/>
      <c r="D86" s="292"/>
      <c r="E86" s="297"/>
      <c r="F86" s="298"/>
      <c r="G86" s="299"/>
      <c r="H86" s="296"/>
      <c r="I86" s="254">
        <v>0</v>
      </c>
      <c r="J86" s="250"/>
      <c r="K86" s="72"/>
      <c r="L86" s="71"/>
      <c r="M86" s="102"/>
      <c r="N86" s="59"/>
      <c r="O86" s="271"/>
      <c r="P86" s="460">
        <f>SUM(I86:O86)</f>
        <v>0</v>
      </c>
      <c r="Q86" s="474"/>
      <c r="R86" s="420"/>
    </row>
    <row r="87" spans="3:18" s="33" customFormat="1" ht="15" customHeight="1">
      <c r="C87" s="124"/>
      <c r="D87" s="328" t="s">
        <v>19</v>
      </c>
      <c r="E87" s="304"/>
      <c r="F87" s="360"/>
      <c r="G87" s="528"/>
      <c r="H87" s="528"/>
      <c r="I87" s="269">
        <v>0</v>
      </c>
      <c r="J87" s="251"/>
      <c r="K87" s="125"/>
      <c r="L87" s="126"/>
      <c r="M87" s="127"/>
      <c r="N87" s="125"/>
      <c r="O87" s="126"/>
      <c r="P87" s="498">
        <f>SUM(I87:O87)</f>
        <v>0</v>
      </c>
      <c r="Q87" s="499">
        <f>P87</f>
        <v>0</v>
      </c>
      <c r="R87" s="420"/>
    </row>
    <row r="88" spans="3:18" s="33" customFormat="1" ht="15" customHeight="1">
      <c r="C88" s="103" t="s">
        <v>9</v>
      </c>
      <c r="D88" s="284" t="s">
        <v>31</v>
      </c>
      <c r="E88" s="284"/>
      <c r="F88" s="285"/>
      <c r="G88" s="286"/>
      <c r="H88" s="287"/>
      <c r="I88" s="266"/>
      <c r="J88" s="249"/>
      <c r="K88" s="128"/>
      <c r="L88" s="105"/>
      <c r="M88" s="106"/>
      <c r="N88" s="107"/>
      <c r="O88" s="276"/>
      <c r="P88" s="492"/>
      <c r="Q88" s="496">
        <f>SUM(P89:P89)</f>
        <v>0</v>
      </c>
      <c r="R88" s="420"/>
    </row>
    <row r="89" spans="3:18" s="33" customFormat="1" ht="15" customHeight="1" thickBot="1">
      <c r="C89" s="82"/>
      <c r="D89" s="305" t="s">
        <v>167</v>
      </c>
      <c r="E89" s="283"/>
      <c r="F89" s="293"/>
      <c r="G89" s="195"/>
      <c r="H89" s="306"/>
      <c r="I89" s="270">
        <v>0</v>
      </c>
      <c r="J89" s="129"/>
      <c r="K89" s="130"/>
      <c r="L89" s="130"/>
      <c r="M89" s="131"/>
      <c r="N89" s="130"/>
      <c r="O89" s="271"/>
      <c r="P89" s="500">
        <f>SUM(I89:O89)</f>
        <v>0</v>
      </c>
      <c r="Q89" s="501"/>
      <c r="R89" s="420"/>
    </row>
    <row r="90" spans="3:18" s="33" customFormat="1" ht="15" customHeight="1">
      <c r="C90" s="100"/>
      <c r="D90" s="26" t="s">
        <v>20</v>
      </c>
      <c r="E90" s="108"/>
      <c r="F90" s="132"/>
      <c r="G90" s="208"/>
      <c r="H90" s="224"/>
      <c r="I90" s="380"/>
      <c r="J90" s="134"/>
      <c r="K90" s="135"/>
      <c r="L90" s="135"/>
      <c r="M90" s="136"/>
      <c r="N90" s="135"/>
      <c r="O90" s="137"/>
      <c r="P90" s="502"/>
      <c r="Q90" s="503">
        <f>+Q59+Q65+Q67+Q73+Q76+Q84+Q87+Q88</f>
        <v>236161.07</v>
      </c>
      <c r="R90" s="420"/>
    </row>
    <row r="91" spans="3:18" s="33" customFormat="1" ht="15" customHeight="1" thickBot="1">
      <c r="C91" s="100"/>
      <c r="D91" s="15"/>
      <c r="E91" s="108"/>
      <c r="F91" s="132"/>
      <c r="G91" s="208"/>
      <c r="H91" s="224"/>
      <c r="I91" s="133"/>
      <c r="J91" s="134"/>
      <c r="K91" s="135"/>
      <c r="L91" s="135"/>
      <c r="M91" s="136"/>
      <c r="N91" s="135"/>
      <c r="O91" s="137"/>
      <c r="P91" s="502"/>
      <c r="Q91" s="504"/>
      <c r="R91" s="420"/>
    </row>
    <row r="92" spans="3:18" s="33" customFormat="1" ht="15" customHeight="1" thickTop="1">
      <c r="C92" s="138" t="s">
        <v>10</v>
      </c>
      <c r="D92" s="10" t="s">
        <v>3</v>
      </c>
      <c r="E92" s="10"/>
      <c r="F92" s="139"/>
      <c r="G92" s="210"/>
      <c r="H92" s="226"/>
      <c r="I92" s="142">
        <f>SUM(H92:H97)</f>
        <v>0</v>
      </c>
      <c r="J92" s="140"/>
      <c r="K92" s="141"/>
      <c r="L92" s="141"/>
      <c r="M92" s="141"/>
      <c r="N92" s="141"/>
      <c r="O92" s="11"/>
      <c r="P92" s="505"/>
      <c r="Q92" s="506">
        <f>SUM(P92:P97)</f>
        <v>200000</v>
      </c>
      <c r="R92" s="420"/>
    </row>
    <row r="93" spans="3:18" s="33" customFormat="1" ht="15" customHeight="1">
      <c r="C93" s="83"/>
      <c r="D93" s="52" t="s">
        <v>58</v>
      </c>
      <c r="E93" s="81"/>
      <c r="F93" s="143"/>
      <c r="G93" s="144"/>
      <c r="H93" s="332"/>
      <c r="I93" s="510">
        <f>J93*O1</f>
        <v>0</v>
      </c>
      <c r="J93" s="329">
        <v>0</v>
      </c>
      <c r="K93" s="84"/>
      <c r="L93" s="145"/>
      <c r="M93" s="145"/>
      <c r="N93" s="145"/>
      <c r="O93" s="146"/>
      <c r="P93" s="114">
        <f>SUM(J93:O93)</f>
        <v>0</v>
      </c>
      <c r="Q93" s="147"/>
      <c r="R93" s="420"/>
    </row>
    <row r="94" spans="3:18" s="33" customFormat="1" ht="15" customHeight="1">
      <c r="C94" s="123"/>
      <c r="D94" s="52" t="s">
        <v>26</v>
      </c>
      <c r="E94" s="52"/>
      <c r="F94" s="148"/>
      <c r="G94" s="211"/>
      <c r="H94" s="227"/>
      <c r="I94" s="510">
        <f>J94*O1</f>
        <v>278022000</v>
      </c>
      <c r="J94" s="525">
        <v>200000</v>
      </c>
      <c r="K94" s="150"/>
      <c r="L94" s="150"/>
      <c r="M94" s="150"/>
      <c r="N94" s="150"/>
      <c r="O94" s="151"/>
      <c r="P94" s="114">
        <f>SUM(J94:O94)</f>
        <v>200000</v>
      </c>
      <c r="Q94" s="80"/>
      <c r="R94" s="420"/>
    </row>
    <row r="95" spans="3:18" s="33" customFormat="1" ht="15" customHeight="1">
      <c r="C95" s="123"/>
      <c r="D95" s="52" t="s">
        <v>105</v>
      </c>
      <c r="E95" s="52"/>
      <c r="F95" s="148"/>
      <c r="G95" s="396"/>
      <c r="H95" s="427"/>
      <c r="I95" s="428"/>
      <c r="J95" s="149">
        <v>0</v>
      </c>
      <c r="K95" s="150"/>
      <c r="L95" s="150"/>
      <c r="M95" s="150"/>
      <c r="N95" s="150"/>
      <c r="O95" s="151"/>
      <c r="P95" s="429">
        <f>SUM(J95:O95)</f>
        <v>0</v>
      </c>
      <c r="Q95" s="79"/>
      <c r="R95" s="420"/>
    </row>
    <row r="96" spans="3:18" s="33" customFormat="1" ht="15" customHeight="1">
      <c r="C96" s="123"/>
      <c r="D96" s="395" t="s">
        <v>24</v>
      </c>
      <c r="E96" s="52"/>
      <c r="F96" s="70"/>
      <c r="G96" s="396"/>
      <c r="H96" s="397"/>
      <c r="I96" s="398"/>
      <c r="J96" s="445">
        <v>0</v>
      </c>
      <c r="K96" s="399"/>
      <c r="L96" s="150"/>
      <c r="M96" s="150"/>
      <c r="N96" s="150"/>
      <c r="O96" s="151">
        <v>0</v>
      </c>
      <c r="P96" s="444">
        <f>SUM(J96:O96)</f>
        <v>0</v>
      </c>
      <c r="Q96" s="79"/>
      <c r="R96" s="420"/>
    </row>
    <row r="97" spans="3:18" s="33" customFormat="1" ht="15" customHeight="1">
      <c r="C97" s="123"/>
      <c r="D97" s="52" t="s">
        <v>56</v>
      </c>
      <c r="E97" s="52"/>
      <c r="F97" s="70"/>
      <c r="G97" s="204"/>
      <c r="H97" s="225"/>
      <c r="I97" s="65"/>
      <c r="J97" s="149">
        <v>0</v>
      </c>
      <c r="K97" s="152"/>
      <c r="L97" s="153"/>
      <c r="M97" s="153"/>
      <c r="N97" s="153"/>
      <c r="O97" s="154"/>
      <c r="P97" s="149">
        <f>SUM(J97:O97)</f>
        <v>0</v>
      </c>
      <c r="Q97" s="80"/>
      <c r="R97" s="420"/>
    </row>
    <row r="98" spans="3:18" s="33" customFormat="1" ht="15" customHeight="1" thickBot="1">
      <c r="C98" s="123" t="s">
        <v>4</v>
      </c>
      <c r="D98" s="113"/>
      <c r="E98" s="113"/>
      <c r="F98" s="113"/>
      <c r="G98" s="209"/>
      <c r="H98" s="228"/>
      <c r="I98" s="70"/>
      <c r="J98" s="155"/>
      <c r="K98" s="155"/>
      <c r="L98" s="155"/>
      <c r="M98" s="155"/>
      <c r="N98" s="155"/>
      <c r="O98" s="156"/>
      <c r="P98" s="157"/>
      <c r="Q98" s="158">
        <f>SUM(Q59+Q73+Q76+Q84+Q87+Q88+Q92)</f>
        <v>436161.07</v>
      </c>
      <c r="R98" s="420"/>
    </row>
    <row r="99" spans="3:18" s="33" customFormat="1" ht="15" customHeight="1" thickTop="1">
      <c r="C99" s="123"/>
      <c r="D99" s="32" t="s">
        <v>41</v>
      </c>
      <c r="E99" s="27"/>
      <c r="F99" s="27"/>
      <c r="G99" s="192"/>
      <c r="H99" s="229"/>
      <c r="I99" s="70"/>
      <c r="J99" s="349"/>
      <c r="K99" s="355" t="s">
        <v>164</v>
      </c>
      <c r="L99" s="356" t="s">
        <v>165</v>
      </c>
      <c r="M99" s="356"/>
      <c r="N99" s="357"/>
      <c r="O99" s="358"/>
      <c r="P99" s="359"/>
      <c r="Q99" s="348"/>
      <c r="R99" s="420"/>
    </row>
    <row r="100" spans="3:18" s="33" customFormat="1" ht="15" customHeight="1">
      <c r="C100" s="123"/>
      <c r="D100" s="310" t="s">
        <v>32</v>
      </c>
      <c r="E100" s="311"/>
      <c r="F100" s="312"/>
      <c r="G100" s="199"/>
      <c r="H100" s="230"/>
      <c r="I100" s="70"/>
      <c r="J100" s="350" t="s">
        <v>37</v>
      </c>
      <c r="K100" s="532">
        <f>(20799975.6+13480000)/O1</f>
        <v>24659.901446648109</v>
      </c>
      <c r="L100" s="532">
        <f>(6711672.12+8400000.19)/O1</f>
        <v>10870.846415031903</v>
      </c>
      <c r="M100" s="532"/>
      <c r="N100" s="532"/>
      <c r="O100" s="532"/>
      <c r="P100" s="532"/>
      <c r="Q100" s="533">
        <f>SUM(K100:P100)</f>
        <v>35530.747861680014</v>
      </c>
      <c r="R100" s="420"/>
    </row>
    <row r="101" spans="3:18" s="33" customFormat="1" ht="15" customHeight="1" thickBot="1">
      <c r="C101" s="123"/>
      <c r="D101" s="313" t="s">
        <v>33</v>
      </c>
      <c r="E101" s="52"/>
      <c r="F101" s="309">
        <f>I1</f>
        <v>45990</v>
      </c>
      <c r="G101" s="209"/>
      <c r="H101" s="315">
        <f>I92</f>
        <v>0</v>
      </c>
      <c r="I101" s="159"/>
      <c r="J101" s="351" t="s">
        <v>38</v>
      </c>
      <c r="K101" s="534"/>
      <c r="L101" s="534"/>
      <c r="M101" s="534"/>
      <c r="N101" s="534"/>
      <c r="O101" s="534"/>
      <c r="P101" s="534"/>
      <c r="Q101" s="533">
        <f>J18</f>
        <v>0</v>
      </c>
      <c r="R101" s="420"/>
    </row>
    <row r="102" spans="3:18" s="33" customFormat="1" ht="15" customHeight="1" thickTop="1">
      <c r="C102" s="123"/>
      <c r="D102" s="313" t="s">
        <v>34</v>
      </c>
      <c r="E102" s="52"/>
      <c r="F102" s="309">
        <f>P1</f>
        <v>46022</v>
      </c>
      <c r="G102" s="209"/>
      <c r="H102" s="315">
        <f>Q92</f>
        <v>200000</v>
      </c>
      <c r="I102" s="159"/>
      <c r="J102" s="352" t="s">
        <v>151</v>
      </c>
      <c r="K102" s="535"/>
      <c r="L102" s="535"/>
      <c r="M102" s="536"/>
      <c r="N102" s="536"/>
      <c r="O102" s="536"/>
      <c r="P102" s="537"/>
      <c r="Q102" s="533">
        <f>SUM(K102:P102)</f>
        <v>0</v>
      </c>
      <c r="R102" s="420"/>
    </row>
    <row r="103" spans="3:18" s="33" customFormat="1" ht="15" customHeight="1">
      <c r="C103" s="123"/>
      <c r="D103" s="313"/>
      <c r="E103" s="52"/>
      <c r="F103" s="309"/>
      <c r="G103" s="209"/>
      <c r="H103" s="316"/>
      <c r="I103" s="159"/>
      <c r="J103" s="353" t="s">
        <v>152</v>
      </c>
      <c r="K103" s="532">
        <f>K100*21%</f>
        <v>5178.579303796103</v>
      </c>
      <c r="L103" s="532">
        <f t="shared" ref="L103:P103" si="7">L100*21%</f>
        <v>2282.8777471566996</v>
      </c>
      <c r="M103" s="532">
        <f t="shared" si="7"/>
        <v>0</v>
      </c>
      <c r="N103" s="532">
        <f t="shared" si="7"/>
        <v>0</v>
      </c>
      <c r="O103" s="532">
        <f t="shared" si="7"/>
        <v>0</v>
      </c>
      <c r="P103" s="532">
        <f t="shared" si="7"/>
        <v>0</v>
      </c>
      <c r="Q103" s="533">
        <f>SUM(K103:P103)</f>
        <v>7461.4570509528021</v>
      </c>
      <c r="R103" s="420"/>
    </row>
    <row r="104" spans="3:18" s="33" customFormat="1" ht="15" customHeight="1">
      <c r="C104" s="123"/>
      <c r="D104" s="313" t="s">
        <v>22</v>
      </c>
      <c r="E104" s="314"/>
      <c r="F104" s="309">
        <f>SUM(F102)</f>
        <v>46022</v>
      </c>
      <c r="G104" s="212"/>
      <c r="H104" s="317">
        <f>SUM(H102-H101)</f>
        <v>200000</v>
      </c>
      <c r="I104" s="165"/>
      <c r="J104" s="353" t="s">
        <v>166</v>
      </c>
      <c r="K104" s="532">
        <f>K100*5%</f>
        <v>1232.9950723324055</v>
      </c>
      <c r="L104" s="532">
        <f t="shared" ref="L104:P104" si="8">L100*5%</f>
        <v>543.54232075159518</v>
      </c>
      <c r="M104" s="532">
        <f t="shared" si="8"/>
        <v>0</v>
      </c>
      <c r="N104" s="532">
        <f t="shared" si="8"/>
        <v>0</v>
      </c>
      <c r="O104" s="532">
        <f t="shared" si="8"/>
        <v>0</v>
      </c>
      <c r="P104" s="532">
        <f t="shared" si="8"/>
        <v>0</v>
      </c>
      <c r="Q104" s="533">
        <f>SUM(K104:P104)</f>
        <v>1776.5373930840005</v>
      </c>
      <c r="R104" s="420"/>
    </row>
    <row r="105" spans="3:18" s="33" customFormat="1" ht="15" customHeight="1" thickBot="1">
      <c r="C105" s="123"/>
      <c r="D105" s="12"/>
      <c r="E105" s="166"/>
      <c r="F105" s="164"/>
      <c r="G105" s="212"/>
      <c r="H105" s="231"/>
      <c r="I105" s="167"/>
      <c r="J105" s="354" t="s">
        <v>153</v>
      </c>
      <c r="K105" s="532"/>
      <c r="L105" s="532"/>
      <c r="M105" s="532"/>
      <c r="N105" s="532"/>
      <c r="O105" s="532"/>
      <c r="P105" s="532"/>
      <c r="Q105" s="533">
        <f>SUM(K105:P105)</f>
        <v>0</v>
      </c>
      <c r="R105" s="420"/>
    </row>
    <row r="106" spans="3:18" s="33" customFormat="1" ht="15" customHeight="1" thickTop="1">
      <c r="C106" s="123"/>
      <c r="D106" s="13" t="s">
        <v>48</v>
      </c>
      <c r="E106" s="14"/>
      <c r="F106" s="14"/>
      <c r="G106" s="200"/>
      <c r="H106" s="232"/>
      <c r="I106" s="70"/>
      <c r="J106" s="160"/>
      <c r="K106" s="161"/>
      <c r="L106" s="161"/>
      <c r="M106" s="161"/>
      <c r="N106" s="161"/>
      <c r="O106" s="345" t="s">
        <v>39</v>
      </c>
      <c r="P106" s="346"/>
      <c r="Q106" s="347">
        <f>Q100+Q101</f>
        <v>35530.747861680014</v>
      </c>
      <c r="R106" s="420"/>
    </row>
    <row r="107" spans="3:18" s="33" customFormat="1" ht="15" customHeight="1">
      <c r="C107" s="122"/>
      <c r="D107" s="170"/>
      <c r="E107" s="170"/>
      <c r="F107" s="170"/>
      <c r="G107" s="213"/>
      <c r="H107" s="233"/>
      <c r="I107" s="121"/>
      <c r="J107" s="160"/>
      <c r="K107" s="161"/>
      <c r="L107" s="161"/>
      <c r="M107" s="161"/>
      <c r="N107" s="161"/>
      <c r="O107" s="41" t="s">
        <v>36</v>
      </c>
      <c r="P107" s="44"/>
      <c r="Q107" s="162"/>
      <c r="R107" s="420"/>
    </row>
    <row r="108" spans="3:18" s="33" customFormat="1" ht="15" customHeight="1">
      <c r="C108" s="35"/>
      <c r="D108" s="176"/>
      <c r="E108" s="177"/>
      <c r="F108" s="176"/>
      <c r="G108" s="214"/>
      <c r="H108" s="234"/>
      <c r="I108" s="36"/>
      <c r="J108" s="160"/>
      <c r="K108" s="161"/>
      <c r="L108" s="161"/>
      <c r="M108" s="161"/>
      <c r="N108" s="161"/>
      <c r="O108" s="308" t="s">
        <v>40</v>
      </c>
      <c r="P108" s="163"/>
      <c r="Q108" s="318">
        <f>SUM(Q106:Q107)</f>
        <v>35530.747861680014</v>
      </c>
      <c r="R108" s="420"/>
    </row>
    <row r="109" spans="3:18" s="33" customFormat="1" ht="15" customHeight="1">
      <c r="C109" s="35"/>
      <c r="D109" s="176"/>
      <c r="E109" s="177"/>
      <c r="F109" s="182"/>
      <c r="G109" s="201"/>
      <c r="H109" s="235"/>
      <c r="I109" s="42"/>
      <c r="J109" s="160"/>
      <c r="K109" s="161"/>
      <c r="L109" s="161"/>
      <c r="M109" s="161"/>
      <c r="N109" s="161"/>
      <c r="O109" s="49" t="s">
        <v>13</v>
      </c>
      <c r="P109" s="44"/>
      <c r="Q109" s="443">
        <f>O22</f>
        <v>0</v>
      </c>
      <c r="R109" s="420"/>
    </row>
    <row r="110" spans="3:18" s="33" customFormat="1" ht="15" customHeight="1">
      <c r="C110" s="35"/>
      <c r="D110" s="176"/>
      <c r="E110" s="177"/>
      <c r="F110" s="182"/>
      <c r="G110" s="201"/>
      <c r="H110" s="235"/>
      <c r="I110" s="42"/>
      <c r="J110" s="160"/>
      <c r="K110" s="161"/>
      <c r="L110" s="161"/>
      <c r="M110" s="161"/>
      <c r="N110" s="161"/>
      <c r="O110" s="41" t="s">
        <v>21</v>
      </c>
      <c r="P110" s="43"/>
      <c r="Q110" s="168"/>
      <c r="R110" s="420"/>
    </row>
    <row r="111" spans="3:18" s="33" customFormat="1" ht="15" customHeight="1">
      <c r="C111" s="35"/>
      <c r="D111" s="176"/>
      <c r="E111" s="177"/>
      <c r="F111" s="182"/>
      <c r="G111" s="201"/>
      <c r="H111" s="235"/>
      <c r="I111" s="42"/>
      <c r="J111" s="160"/>
      <c r="K111" s="161"/>
      <c r="L111" s="161"/>
      <c r="M111" s="161"/>
      <c r="N111" s="161"/>
      <c r="O111" s="48" t="s">
        <v>23</v>
      </c>
      <c r="P111" s="169"/>
      <c r="Q111" s="319">
        <f>SUM(Q108:Q110)</f>
        <v>35530.747861680014</v>
      </c>
      <c r="R111" s="420"/>
    </row>
    <row r="112" spans="3:18" s="33" customFormat="1" ht="15" customHeight="1">
      <c r="C112" s="35"/>
      <c r="D112" s="176"/>
      <c r="E112" s="177"/>
      <c r="F112" s="182"/>
      <c r="G112" s="201"/>
      <c r="H112" s="235"/>
      <c r="I112" s="42"/>
      <c r="J112" s="171" t="s">
        <v>11</v>
      </c>
      <c r="K112" s="34"/>
      <c r="L112" s="172"/>
      <c r="M112" s="172"/>
      <c r="N112" s="172"/>
      <c r="O112" s="173"/>
      <c r="P112" s="174"/>
      <c r="Q112" s="175">
        <f>SUM(Q113:Q188)</f>
        <v>0</v>
      </c>
      <c r="R112" s="420"/>
    </row>
    <row r="113" spans="3:18" s="33" customFormat="1" ht="15" customHeight="1">
      <c r="C113" s="35"/>
      <c r="D113" s="176"/>
      <c r="E113" s="177"/>
      <c r="F113" s="182"/>
      <c r="G113" s="201"/>
      <c r="H113" s="235"/>
      <c r="I113" s="42"/>
      <c r="J113" s="190"/>
      <c r="K113" s="191"/>
      <c r="L113" s="191"/>
      <c r="M113" s="178"/>
      <c r="N113" s="179"/>
      <c r="O113" s="180"/>
      <c r="P113" s="181"/>
      <c r="Q113" s="524"/>
      <c r="R113" s="420"/>
    </row>
    <row r="114" spans="3:18" s="33" customFormat="1" ht="15" customHeight="1">
      <c r="C114" s="35"/>
      <c r="D114" s="176"/>
      <c r="E114" s="177"/>
      <c r="F114" s="182"/>
      <c r="G114" s="201"/>
      <c r="H114" s="235"/>
      <c r="I114" s="42"/>
      <c r="J114" s="190" t="s">
        <v>16</v>
      </c>
      <c r="K114" s="191"/>
      <c r="L114" s="191"/>
      <c r="M114" s="178"/>
      <c r="N114" s="179"/>
      <c r="O114" s="180"/>
      <c r="P114" s="181"/>
      <c r="Q114" s="524"/>
      <c r="R114" s="420"/>
    </row>
    <row r="115" spans="3:18" s="33" customFormat="1" ht="15" customHeight="1">
      <c r="C115" s="35"/>
      <c r="D115" s="176"/>
      <c r="E115" s="177"/>
      <c r="F115" s="182"/>
      <c r="G115" s="201"/>
      <c r="H115" s="235"/>
      <c r="I115" s="42"/>
      <c r="J115" s="190"/>
      <c r="K115" s="191"/>
      <c r="L115" s="191"/>
      <c r="M115" s="178"/>
      <c r="N115" s="179"/>
      <c r="O115" s="180"/>
      <c r="P115" s="181"/>
      <c r="Q115" s="524"/>
      <c r="R115" s="420"/>
    </row>
    <row r="116" spans="3:18" s="33" customFormat="1" ht="15" customHeight="1">
      <c r="C116" s="35"/>
      <c r="D116" s="176"/>
      <c r="E116" s="177"/>
      <c r="F116" s="182"/>
      <c r="G116" s="201"/>
      <c r="H116" s="235"/>
      <c r="I116" s="42"/>
      <c r="J116" s="190" t="s">
        <v>86</v>
      </c>
      <c r="K116" s="191"/>
      <c r="L116" s="191"/>
      <c r="M116" s="178"/>
      <c r="N116" s="179"/>
      <c r="O116" s="180"/>
      <c r="P116" s="181"/>
      <c r="Q116" s="524"/>
      <c r="R116" s="420"/>
    </row>
    <row r="117" spans="3:18" s="33" customFormat="1" ht="15" customHeight="1">
      <c r="C117" s="35"/>
      <c r="D117" s="176"/>
      <c r="E117" s="177"/>
      <c r="F117" s="182"/>
      <c r="G117" s="201"/>
      <c r="H117" s="235"/>
      <c r="I117" s="42"/>
      <c r="J117" s="190" t="s">
        <v>117</v>
      </c>
      <c r="K117" s="191"/>
      <c r="L117" s="191"/>
      <c r="M117" s="178"/>
      <c r="N117" s="179"/>
      <c r="O117" s="180"/>
      <c r="P117" s="181"/>
      <c r="Q117" s="524"/>
      <c r="R117" s="420"/>
    </row>
    <row r="118" spans="3:18" s="33" customFormat="1" ht="15" customHeight="1">
      <c r="C118" s="35"/>
      <c r="D118" s="176"/>
      <c r="E118" s="177"/>
      <c r="F118" s="182"/>
      <c r="G118" s="201"/>
      <c r="H118" s="235"/>
      <c r="I118" s="42"/>
      <c r="J118" s="190" t="s">
        <v>72</v>
      </c>
      <c r="K118" s="191"/>
      <c r="L118" s="191"/>
      <c r="M118" s="178"/>
      <c r="N118" s="179"/>
      <c r="O118" s="180"/>
      <c r="P118" s="181"/>
      <c r="Q118" s="524"/>
      <c r="R118" s="420"/>
    </row>
    <row r="119" spans="3:18" s="33" customFormat="1" ht="15" customHeight="1">
      <c r="C119" s="35"/>
      <c r="D119" s="176"/>
      <c r="E119" s="177"/>
      <c r="F119" s="182"/>
      <c r="G119" s="201"/>
      <c r="H119" s="235"/>
      <c r="I119" s="42"/>
      <c r="J119" s="190" t="s">
        <v>110</v>
      </c>
      <c r="K119" s="191"/>
      <c r="L119" s="191"/>
      <c r="M119" s="178"/>
      <c r="N119" s="179"/>
      <c r="O119" s="180"/>
      <c r="P119" s="181"/>
      <c r="Q119" s="524"/>
      <c r="R119" s="420"/>
    </row>
    <row r="120" spans="3:18" s="33" customFormat="1" ht="15" customHeight="1">
      <c r="C120" s="35"/>
      <c r="D120" s="176"/>
      <c r="E120" s="177"/>
      <c r="F120" s="182"/>
      <c r="G120" s="201"/>
      <c r="H120" s="235"/>
      <c r="I120" s="42"/>
      <c r="J120" s="190" t="s">
        <v>111</v>
      </c>
      <c r="K120" s="191"/>
      <c r="L120" s="191"/>
      <c r="M120" s="178"/>
      <c r="N120" s="179"/>
      <c r="O120" s="180"/>
      <c r="P120" s="181"/>
      <c r="Q120" s="524"/>
      <c r="R120" s="420"/>
    </row>
    <row r="121" spans="3:18" s="33" customFormat="1" ht="15" customHeight="1">
      <c r="C121" s="35"/>
      <c r="D121" s="176"/>
      <c r="E121" s="177"/>
      <c r="F121" s="182"/>
      <c r="G121" s="201"/>
      <c r="H121" s="235"/>
      <c r="I121" s="42"/>
      <c r="J121" s="190" t="s">
        <v>106</v>
      </c>
      <c r="K121" s="191"/>
      <c r="L121" s="191"/>
      <c r="M121" s="178"/>
      <c r="N121" s="179"/>
      <c r="O121" s="180"/>
      <c r="P121" s="181"/>
      <c r="Q121" s="524"/>
      <c r="R121" s="420"/>
    </row>
    <row r="122" spans="3:18" s="33" customFormat="1" ht="15" customHeight="1">
      <c r="C122" s="35"/>
      <c r="D122" s="176"/>
      <c r="E122" s="177"/>
      <c r="F122" s="182"/>
      <c r="G122" s="201"/>
      <c r="H122" s="235"/>
      <c r="I122" s="42"/>
      <c r="J122" s="190" t="s">
        <v>78</v>
      </c>
      <c r="K122" s="191"/>
      <c r="L122" s="191"/>
      <c r="M122" s="178"/>
      <c r="N122" s="179"/>
      <c r="O122" s="180"/>
      <c r="P122" s="181"/>
      <c r="Q122" s="524"/>
      <c r="R122" s="420"/>
    </row>
    <row r="123" spans="3:18" s="33" customFormat="1" ht="15" customHeight="1">
      <c r="C123" s="35"/>
      <c r="D123" s="176"/>
      <c r="E123" s="177"/>
      <c r="F123" s="182"/>
      <c r="G123" s="201"/>
      <c r="H123" s="235"/>
      <c r="I123" s="42"/>
      <c r="J123" s="190" t="s">
        <v>79</v>
      </c>
      <c r="K123" s="191"/>
      <c r="L123" s="191"/>
      <c r="M123" s="178"/>
      <c r="N123" s="179"/>
      <c r="O123" s="180"/>
      <c r="P123" s="181"/>
      <c r="Q123" s="524"/>
      <c r="R123" s="420"/>
    </row>
    <row r="124" spans="3:18" s="33" customFormat="1" ht="15" customHeight="1">
      <c r="C124" s="35"/>
      <c r="D124" s="176"/>
      <c r="E124" s="177"/>
      <c r="F124" s="182"/>
      <c r="G124" s="201"/>
      <c r="H124" s="235"/>
      <c r="I124" s="42"/>
      <c r="J124" s="190" t="s">
        <v>89</v>
      </c>
      <c r="K124" s="191"/>
      <c r="L124" s="191"/>
      <c r="M124" s="178"/>
      <c r="N124" s="179"/>
      <c r="O124" s="180"/>
      <c r="P124" s="181"/>
      <c r="Q124" s="524"/>
      <c r="R124" s="420"/>
    </row>
    <row r="125" spans="3:18" s="7" customFormat="1" ht="15" customHeight="1">
      <c r="C125" s="35"/>
      <c r="D125" s="176"/>
      <c r="E125" s="177"/>
      <c r="F125" s="182"/>
      <c r="G125" s="201"/>
      <c r="H125" s="235"/>
      <c r="I125" s="42"/>
      <c r="J125" s="190" t="s">
        <v>90</v>
      </c>
      <c r="K125" s="191"/>
      <c r="L125" s="191"/>
      <c r="M125" s="178"/>
      <c r="N125" s="179"/>
      <c r="O125" s="180"/>
      <c r="P125" s="181"/>
      <c r="Q125" s="524"/>
      <c r="R125" s="420"/>
    </row>
    <row r="126" spans="3:18" s="7" customFormat="1" ht="15" customHeight="1">
      <c r="C126" s="35"/>
      <c r="D126" s="176"/>
      <c r="E126" s="177"/>
      <c r="F126" s="182"/>
      <c r="G126" s="201"/>
      <c r="H126" s="235"/>
      <c r="I126" s="42"/>
      <c r="J126" s="190" t="s">
        <v>113</v>
      </c>
      <c r="K126" s="191"/>
      <c r="L126" s="191"/>
      <c r="M126" s="178"/>
      <c r="N126" s="179"/>
      <c r="O126" s="180"/>
      <c r="P126" s="181"/>
      <c r="Q126" s="524"/>
      <c r="R126" s="420"/>
    </row>
    <row r="127" spans="3:18" s="7" customFormat="1" ht="15" customHeight="1">
      <c r="C127" s="35"/>
      <c r="D127" s="176"/>
      <c r="E127" s="177"/>
      <c r="F127" s="182"/>
      <c r="G127" s="201"/>
      <c r="H127" s="235"/>
      <c r="I127" s="42"/>
      <c r="J127" s="190" t="s">
        <v>91</v>
      </c>
      <c r="K127" s="191"/>
      <c r="L127" s="191"/>
      <c r="M127" s="178"/>
      <c r="N127" s="179"/>
      <c r="O127" s="180"/>
      <c r="P127" s="181"/>
      <c r="Q127" s="524"/>
      <c r="R127" s="420"/>
    </row>
    <row r="128" spans="3:18" s="7" customFormat="1" ht="15" customHeight="1">
      <c r="C128" s="35"/>
      <c r="D128" s="176"/>
      <c r="E128" s="177"/>
      <c r="F128" s="182"/>
      <c r="G128" s="201"/>
      <c r="H128" s="235"/>
      <c r="I128" s="42"/>
      <c r="J128" s="190" t="s">
        <v>136</v>
      </c>
      <c r="K128" s="191"/>
      <c r="L128" s="191"/>
      <c r="M128" s="178"/>
      <c r="N128" s="179"/>
      <c r="O128" s="180"/>
      <c r="P128" s="181"/>
      <c r="Q128" s="524"/>
      <c r="R128" s="420"/>
    </row>
    <row r="129" spans="3:18" s="7" customFormat="1" ht="15" customHeight="1">
      <c r="C129" s="35"/>
      <c r="D129" s="176"/>
      <c r="E129" s="177"/>
      <c r="F129" s="182"/>
      <c r="G129" s="201"/>
      <c r="H129" s="235"/>
      <c r="I129" s="42"/>
      <c r="J129" s="190" t="s">
        <v>133</v>
      </c>
      <c r="K129" s="191"/>
      <c r="L129" s="191"/>
      <c r="M129" s="178"/>
      <c r="N129" s="179"/>
      <c r="O129" s="180"/>
      <c r="P129" s="181"/>
      <c r="Q129" s="524"/>
      <c r="R129" s="420"/>
    </row>
    <row r="130" spans="3:18" s="7" customFormat="1" ht="15" customHeight="1">
      <c r="C130" s="35"/>
      <c r="D130" s="176"/>
      <c r="E130" s="177"/>
      <c r="F130" s="182"/>
      <c r="G130" s="201"/>
      <c r="H130" s="235"/>
      <c r="I130" s="42"/>
      <c r="J130" s="190" t="s">
        <v>109</v>
      </c>
      <c r="K130" s="191"/>
      <c r="L130" s="191"/>
      <c r="M130" s="178"/>
      <c r="N130" s="179"/>
      <c r="O130" s="180"/>
      <c r="P130" s="181"/>
      <c r="Q130" s="524"/>
      <c r="R130" s="420"/>
    </row>
    <row r="131" spans="3:18" s="33" customFormat="1" ht="15" customHeight="1">
      <c r="C131" s="35"/>
      <c r="D131" s="176"/>
      <c r="E131" s="177"/>
      <c r="F131" s="182"/>
      <c r="G131" s="201"/>
      <c r="H131" s="235"/>
      <c r="I131" s="42"/>
      <c r="J131" s="190" t="s">
        <v>132</v>
      </c>
      <c r="K131" s="191"/>
      <c r="L131" s="191"/>
      <c r="M131" s="178"/>
      <c r="N131" s="179"/>
      <c r="O131" s="180"/>
      <c r="P131" s="181"/>
      <c r="Q131" s="524"/>
      <c r="R131" s="420"/>
    </row>
    <row r="132" spans="3:18" s="3" customFormat="1" ht="12" customHeight="1">
      <c r="C132" s="35"/>
      <c r="D132" s="176"/>
      <c r="E132" s="177"/>
      <c r="F132" s="182"/>
      <c r="G132" s="201"/>
      <c r="H132" s="235"/>
      <c r="I132" s="42"/>
      <c r="J132" s="190" t="s">
        <v>130</v>
      </c>
      <c r="K132" s="191"/>
      <c r="L132" s="191"/>
      <c r="M132" s="178"/>
      <c r="N132" s="179"/>
      <c r="O132" s="180"/>
      <c r="P132" s="181"/>
      <c r="Q132" s="524"/>
      <c r="R132" s="420"/>
    </row>
    <row r="133" spans="3:18" s="3" customFormat="1" ht="12" customHeight="1">
      <c r="C133" s="35"/>
      <c r="D133" s="176"/>
      <c r="E133" s="177"/>
      <c r="F133" s="182"/>
      <c r="G133" s="201"/>
      <c r="H133" s="235"/>
      <c r="I133" s="42"/>
      <c r="J133" s="190" t="s">
        <v>135</v>
      </c>
      <c r="K133" s="191"/>
      <c r="L133" s="191"/>
      <c r="M133" s="178"/>
      <c r="N133" s="179"/>
      <c r="O133" s="180"/>
      <c r="P133" s="181"/>
      <c r="Q133" s="524"/>
      <c r="R133" s="420"/>
    </row>
    <row r="134" spans="3:18" s="3" customFormat="1" ht="12" customHeight="1">
      <c r="C134" s="35"/>
      <c r="D134" s="176"/>
      <c r="E134" s="177"/>
      <c r="F134" s="182"/>
      <c r="G134" s="201"/>
      <c r="H134" s="235"/>
      <c r="I134" s="42"/>
      <c r="J134" s="190" t="s">
        <v>131</v>
      </c>
      <c r="K134" s="191"/>
      <c r="L134" s="191"/>
      <c r="M134" s="178"/>
      <c r="N134" s="179"/>
      <c r="O134" s="180"/>
      <c r="P134" s="181"/>
      <c r="Q134" s="524"/>
      <c r="R134" s="420"/>
    </row>
    <row r="135" spans="3:18" s="3" customFormat="1" ht="12" customHeight="1">
      <c r="C135" s="35"/>
      <c r="D135" s="176"/>
      <c r="E135" s="177"/>
      <c r="F135" s="182"/>
      <c r="G135" s="201"/>
      <c r="H135" s="235"/>
      <c r="I135" s="42"/>
      <c r="J135" s="190"/>
      <c r="K135" s="191"/>
      <c r="L135" s="191"/>
      <c r="M135" s="178"/>
      <c r="N135" s="179"/>
      <c r="O135" s="180"/>
      <c r="P135" s="181"/>
      <c r="Q135" s="524"/>
      <c r="R135" s="420"/>
    </row>
    <row r="136" spans="3:18" s="3" customFormat="1" ht="12" customHeight="1">
      <c r="C136" s="35"/>
      <c r="D136" s="176"/>
      <c r="E136" s="177"/>
      <c r="F136" s="182"/>
      <c r="G136" s="201"/>
      <c r="H136" s="235"/>
      <c r="I136" s="42"/>
      <c r="J136" s="190" t="s">
        <v>139</v>
      </c>
      <c r="K136" s="191"/>
      <c r="L136" s="191"/>
      <c r="M136" s="178"/>
      <c r="N136" s="179"/>
      <c r="O136" s="180"/>
      <c r="P136" s="181"/>
      <c r="Q136" s="524"/>
      <c r="R136" s="420"/>
    </row>
    <row r="137" spans="3:18" s="3" customFormat="1" ht="12" customHeight="1">
      <c r="C137" s="35"/>
      <c r="D137" s="176"/>
      <c r="E137" s="177"/>
      <c r="F137" s="182"/>
      <c r="G137" s="201"/>
      <c r="H137" s="235"/>
      <c r="I137" s="42"/>
      <c r="J137" s="190" t="s">
        <v>70</v>
      </c>
      <c r="K137" s="191"/>
      <c r="L137" s="191"/>
      <c r="M137" s="178"/>
      <c r="N137" s="179"/>
      <c r="O137" s="180"/>
      <c r="P137" s="181"/>
      <c r="Q137" s="524"/>
      <c r="R137" s="420"/>
    </row>
    <row r="138" spans="3:18" s="3" customFormat="1" ht="12" customHeight="1">
      <c r="C138" s="35"/>
      <c r="D138" s="176"/>
      <c r="E138" s="177"/>
      <c r="F138" s="182"/>
      <c r="G138" s="201"/>
      <c r="H138" s="235"/>
      <c r="I138" s="42"/>
      <c r="J138" s="190" t="s">
        <v>71</v>
      </c>
      <c r="K138" s="191"/>
      <c r="L138" s="191"/>
      <c r="M138" s="178"/>
      <c r="N138" s="179"/>
      <c r="O138" s="180"/>
      <c r="P138" s="181"/>
      <c r="Q138" s="524"/>
      <c r="R138" s="420"/>
    </row>
    <row r="139" spans="3:18" s="3" customFormat="1" ht="12" customHeight="1">
      <c r="C139" s="35"/>
      <c r="D139" s="176"/>
      <c r="E139" s="177"/>
      <c r="F139" s="182"/>
      <c r="G139" s="201"/>
      <c r="H139" s="235"/>
      <c r="I139" s="42"/>
      <c r="J139" s="190" t="s">
        <v>104</v>
      </c>
      <c r="K139" s="191"/>
      <c r="L139" s="191"/>
      <c r="M139" s="178"/>
      <c r="N139" s="179"/>
      <c r="O139" s="180"/>
      <c r="P139" s="181"/>
      <c r="Q139" s="524"/>
      <c r="R139" s="420"/>
    </row>
    <row r="140" spans="3:18" s="3" customFormat="1" ht="12" customHeight="1">
      <c r="C140" s="35"/>
      <c r="D140" s="176"/>
      <c r="E140" s="177"/>
      <c r="F140" s="182"/>
      <c r="G140" s="201"/>
      <c r="H140" s="235"/>
      <c r="I140" s="42"/>
      <c r="J140" s="190" t="s">
        <v>114</v>
      </c>
      <c r="K140" s="191"/>
      <c r="L140" s="191"/>
      <c r="M140" s="178"/>
      <c r="N140" s="179"/>
      <c r="O140" s="180"/>
      <c r="P140" s="181"/>
      <c r="Q140" s="524"/>
      <c r="R140" s="420"/>
    </row>
    <row r="141" spans="3:18" s="3" customFormat="1" ht="12" customHeight="1">
      <c r="C141" s="35"/>
      <c r="D141" s="176"/>
      <c r="E141" s="177"/>
      <c r="F141" s="182"/>
      <c r="G141" s="201"/>
      <c r="H141" s="235"/>
      <c r="I141" s="42"/>
      <c r="J141" s="190" t="s">
        <v>93</v>
      </c>
      <c r="K141" s="191"/>
      <c r="L141" s="191"/>
      <c r="M141" s="178"/>
      <c r="N141" s="179"/>
      <c r="O141" s="180"/>
      <c r="P141" s="181"/>
      <c r="Q141" s="524"/>
      <c r="R141" s="420"/>
    </row>
    <row r="142" spans="3:18" s="3" customFormat="1" ht="12" customHeight="1">
      <c r="C142" s="35"/>
      <c r="D142" s="176"/>
      <c r="E142" s="177"/>
      <c r="F142" s="182"/>
      <c r="G142" s="201"/>
      <c r="H142" s="235"/>
      <c r="I142" s="42"/>
      <c r="J142" s="190" t="s">
        <v>125</v>
      </c>
      <c r="K142" s="191"/>
      <c r="L142" s="191"/>
      <c r="M142" s="178"/>
      <c r="N142" s="179"/>
      <c r="O142" s="180"/>
      <c r="P142" s="181"/>
      <c r="Q142" s="524"/>
      <c r="R142" s="420"/>
    </row>
    <row r="143" spans="3:18" s="3" customFormat="1" ht="12" customHeight="1">
      <c r="C143" s="35"/>
      <c r="D143" s="176"/>
      <c r="E143" s="177"/>
      <c r="F143" s="182"/>
      <c r="G143" s="201"/>
      <c r="H143" s="235"/>
      <c r="I143" s="42"/>
      <c r="J143" s="190" t="s">
        <v>75</v>
      </c>
      <c r="K143" s="191"/>
      <c r="L143" s="191"/>
      <c r="M143" s="178"/>
      <c r="N143" s="179"/>
      <c r="O143" s="180"/>
      <c r="P143" s="181"/>
      <c r="Q143" s="524"/>
      <c r="R143" s="420"/>
    </row>
    <row r="144" spans="3:18" s="3" customFormat="1" ht="12" customHeight="1">
      <c r="C144" s="35"/>
      <c r="D144" s="176"/>
      <c r="E144" s="177"/>
      <c r="F144" s="182"/>
      <c r="G144" s="201"/>
      <c r="H144" s="235"/>
      <c r="I144" s="42"/>
      <c r="J144" s="190" t="s">
        <v>76</v>
      </c>
      <c r="K144" s="191"/>
      <c r="L144" s="191"/>
      <c r="M144" s="178"/>
      <c r="N144" s="179"/>
      <c r="O144" s="180"/>
      <c r="P144" s="181"/>
      <c r="Q144" s="524"/>
      <c r="R144" s="420"/>
    </row>
    <row r="145" spans="3:18" s="3" customFormat="1" ht="12" customHeight="1">
      <c r="C145" s="35"/>
      <c r="D145" s="176"/>
      <c r="E145" s="177"/>
      <c r="F145" s="182"/>
      <c r="G145" s="201"/>
      <c r="H145" s="235"/>
      <c r="I145" s="42"/>
      <c r="J145" s="190"/>
      <c r="K145" s="191"/>
      <c r="L145" s="191"/>
      <c r="M145" s="178"/>
      <c r="N145" s="179"/>
      <c r="O145" s="180"/>
      <c r="P145" s="181"/>
      <c r="Q145" s="524"/>
      <c r="R145" s="420"/>
    </row>
    <row r="146" spans="3:18" s="3" customFormat="1" ht="12" customHeight="1">
      <c r="C146" s="35"/>
      <c r="D146" s="176"/>
      <c r="E146" s="177"/>
      <c r="F146" s="182"/>
      <c r="G146" s="201"/>
      <c r="H146" s="235"/>
      <c r="I146" s="42"/>
      <c r="J146" s="190" t="s">
        <v>77</v>
      </c>
      <c r="K146" s="191"/>
      <c r="L146" s="191"/>
      <c r="M146" s="178"/>
      <c r="N146" s="179"/>
      <c r="O146" s="180"/>
      <c r="P146" s="181"/>
      <c r="Q146" s="524"/>
      <c r="R146" s="420"/>
    </row>
    <row r="147" spans="3:18" s="3" customFormat="1" ht="12" customHeight="1">
      <c r="C147" s="35"/>
      <c r="D147" s="176"/>
      <c r="E147" s="177"/>
      <c r="F147" s="182"/>
      <c r="G147" s="201"/>
      <c r="H147" s="235"/>
      <c r="I147" s="42"/>
      <c r="J147" s="190" t="s">
        <v>53</v>
      </c>
      <c r="K147" s="191"/>
      <c r="L147" s="191"/>
      <c r="M147" s="178"/>
      <c r="N147" s="179"/>
      <c r="O147" s="180"/>
      <c r="P147" s="181"/>
      <c r="Q147" s="524"/>
      <c r="R147" s="420"/>
    </row>
    <row r="148" spans="3:18" s="3" customFormat="1" ht="12" customHeight="1">
      <c r="C148" s="35"/>
      <c r="D148" s="176"/>
      <c r="E148" s="177"/>
      <c r="F148" s="182"/>
      <c r="G148" s="201"/>
      <c r="H148" s="235"/>
      <c r="I148" s="42"/>
      <c r="J148" s="387" t="s">
        <v>80</v>
      </c>
      <c r="K148" s="191"/>
      <c r="L148" s="191"/>
      <c r="M148" s="178"/>
      <c r="N148" s="179"/>
      <c r="O148" s="180"/>
      <c r="P148" s="181"/>
      <c r="Q148" s="524"/>
      <c r="R148" s="420"/>
    </row>
    <row r="149" spans="3:18" s="3" customFormat="1" ht="12" customHeight="1">
      <c r="C149" s="400"/>
      <c r="D149" s="401"/>
      <c r="E149" s="402"/>
      <c r="G149" s="403"/>
      <c r="H149" s="404"/>
      <c r="I149" s="405"/>
      <c r="J149" s="386" t="s">
        <v>52</v>
      </c>
      <c r="K149" s="406"/>
      <c r="L149" s="406"/>
      <c r="M149" s="407"/>
      <c r="N149" s="408"/>
      <c r="O149" s="409"/>
      <c r="P149" s="410"/>
      <c r="Q149" s="524"/>
      <c r="R149" s="420"/>
    </row>
    <row r="150" spans="3:18" s="3" customFormat="1" ht="12" customHeight="1">
      <c r="C150" s="35"/>
      <c r="D150" s="176"/>
      <c r="E150" s="177"/>
      <c r="F150" s="182"/>
      <c r="G150" s="201"/>
      <c r="H150" s="235"/>
      <c r="I150" s="42"/>
      <c r="J150" s="190" t="s">
        <v>69</v>
      </c>
      <c r="K150" s="191"/>
      <c r="L150" s="191"/>
      <c r="M150" s="178"/>
      <c r="N150" s="179"/>
      <c r="O150" s="180"/>
      <c r="P150" s="181"/>
      <c r="Q150" s="524"/>
      <c r="R150" s="420"/>
    </row>
    <row r="151" spans="3:18" s="3" customFormat="1" ht="12" customHeight="1">
      <c r="C151" s="35"/>
      <c r="D151" s="176"/>
      <c r="E151" s="177"/>
      <c r="F151" s="182"/>
      <c r="G151" s="201"/>
      <c r="H151" s="235"/>
      <c r="I151" s="42"/>
      <c r="J151" s="190"/>
      <c r="K151" s="191"/>
      <c r="L151" s="191"/>
      <c r="M151" s="178"/>
      <c r="N151" s="179"/>
      <c r="O151" s="180"/>
      <c r="P151" s="181"/>
      <c r="Q151" s="524"/>
      <c r="R151" s="420"/>
    </row>
    <row r="152" spans="3:18" s="3" customFormat="1" ht="12" customHeight="1">
      <c r="C152" s="35"/>
      <c r="D152" s="176"/>
      <c r="E152" s="177"/>
      <c r="F152" s="182"/>
      <c r="G152" s="201"/>
      <c r="H152" s="235"/>
      <c r="I152" s="42"/>
      <c r="J152" s="190" t="s">
        <v>81</v>
      </c>
      <c r="K152" s="191"/>
      <c r="L152" s="191"/>
      <c r="M152" s="178"/>
      <c r="N152" s="179"/>
      <c r="O152" s="180"/>
      <c r="P152" s="181"/>
      <c r="Q152" s="524"/>
      <c r="R152" s="418"/>
    </row>
    <row r="153" spans="3:18" s="3" customFormat="1" ht="12" customHeight="1">
      <c r="C153" s="35"/>
      <c r="D153" s="176"/>
      <c r="E153" s="177"/>
      <c r="F153" s="182"/>
      <c r="G153" s="201"/>
      <c r="H153" s="235"/>
      <c r="I153" s="42"/>
      <c r="J153" s="190" t="s">
        <v>73</v>
      </c>
      <c r="K153" s="191"/>
      <c r="L153" s="191"/>
      <c r="M153" s="178"/>
      <c r="N153" s="179"/>
      <c r="O153" s="180"/>
      <c r="P153" s="181"/>
      <c r="Q153" s="524"/>
      <c r="R153" s="418"/>
    </row>
    <row r="154" spans="3:18" s="3" customFormat="1" ht="12" customHeight="1">
      <c r="C154" s="35"/>
      <c r="D154" s="176"/>
      <c r="E154" s="177"/>
      <c r="F154" s="182"/>
      <c r="G154" s="201"/>
      <c r="H154" s="235"/>
      <c r="I154" s="42"/>
      <c r="J154" s="190" t="s">
        <v>74</v>
      </c>
      <c r="K154" s="191"/>
      <c r="L154" s="191"/>
      <c r="M154" s="178"/>
      <c r="N154" s="179"/>
      <c r="O154" s="180"/>
      <c r="P154" s="181"/>
      <c r="Q154" s="524"/>
      <c r="R154" s="418"/>
    </row>
    <row r="155" spans="3:18" s="3" customFormat="1" ht="12" customHeight="1">
      <c r="C155" s="35"/>
      <c r="D155" s="176"/>
      <c r="E155" s="177"/>
      <c r="F155" s="182"/>
      <c r="G155" s="201"/>
      <c r="H155" s="235"/>
      <c r="I155" s="42"/>
      <c r="J155" s="190" t="s">
        <v>112</v>
      </c>
      <c r="K155" s="191"/>
      <c r="L155" s="191"/>
      <c r="M155" s="178"/>
      <c r="N155" s="179"/>
      <c r="O155" s="180"/>
      <c r="P155" s="181"/>
      <c r="Q155" s="524"/>
      <c r="R155" s="418"/>
    </row>
    <row r="156" spans="3:18" s="3" customFormat="1" ht="12" customHeight="1">
      <c r="C156" s="35"/>
      <c r="D156" s="176"/>
      <c r="E156" s="177"/>
      <c r="F156" s="182"/>
      <c r="G156" s="201"/>
      <c r="H156" s="235"/>
      <c r="I156" s="42"/>
      <c r="J156" s="190" t="s">
        <v>137</v>
      </c>
      <c r="K156" s="191"/>
      <c r="L156" s="191"/>
      <c r="M156" s="178"/>
      <c r="N156" s="179"/>
      <c r="O156" s="180"/>
      <c r="P156" s="181"/>
      <c r="Q156" s="524"/>
      <c r="R156" s="418"/>
    </row>
    <row r="157" spans="3:18" s="3" customFormat="1" ht="12" customHeight="1">
      <c r="C157" s="35"/>
      <c r="D157" s="176"/>
      <c r="E157" s="177"/>
      <c r="F157" s="182"/>
      <c r="G157" s="201"/>
      <c r="H157" s="235"/>
      <c r="I157" s="42"/>
      <c r="J157" s="190" t="s">
        <v>94</v>
      </c>
      <c r="K157" s="191"/>
      <c r="L157" s="191"/>
      <c r="M157" s="178"/>
      <c r="N157" s="179"/>
      <c r="O157" s="180"/>
      <c r="P157" s="181"/>
      <c r="Q157" s="524"/>
      <c r="R157" s="418"/>
    </row>
    <row r="158" spans="3:18" s="3" customFormat="1" ht="12" customHeight="1">
      <c r="C158" s="35"/>
      <c r="D158" s="176"/>
      <c r="E158" s="177"/>
      <c r="F158" s="182"/>
      <c r="G158" s="201"/>
      <c r="H158" s="235"/>
      <c r="I158" s="42"/>
      <c r="J158" s="386" t="s">
        <v>95</v>
      </c>
      <c r="K158" s="191"/>
      <c r="L158" s="191"/>
      <c r="M158" s="178"/>
      <c r="N158" s="179"/>
      <c r="O158" s="180"/>
      <c r="P158" s="181"/>
      <c r="Q158" s="524"/>
      <c r="R158" s="421"/>
    </row>
    <row r="159" spans="3:18" s="3" customFormat="1" ht="12" customHeight="1">
      <c r="C159" s="35"/>
      <c r="D159" s="176"/>
      <c r="E159" s="177"/>
      <c r="F159" s="182"/>
      <c r="G159" s="201"/>
      <c r="H159" s="235"/>
      <c r="I159" s="42"/>
      <c r="J159" s="386" t="s">
        <v>107</v>
      </c>
      <c r="K159" s="191"/>
      <c r="L159" s="191"/>
      <c r="M159" s="178"/>
      <c r="N159" s="179"/>
      <c r="O159" s="180"/>
      <c r="P159" s="181"/>
      <c r="Q159" s="524"/>
      <c r="R159" s="418"/>
    </row>
    <row r="160" spans="3:18" s="3" customFormat="1" ht="12" customHeight="1">
      <c r="C160" s="35"/>
      <c r="D160" s="176"/>
      <c r="E160" s="177"/>
      <c r="F160" s="182"/>
      <c r="G160" s="201"/>
      <c r="H160" s="235"/>
      <c r="I160" s="42"/>
      <c r="J160" s="386" t="s">
        <v>108</v>
      </c>
      <c r="K160" s="191"/>
      <c r="L160" s="191"/>
      <c r="M160" s="178"/>
      <c r="N160" s="179"/>
      <c r="O160" s="180"/>
      <c r="P160" s="181"/>
      <c r="Q160" s="524"/>
      <c r="R160" s="421"/>
    </row>
    <row r="161" spans="3:29" s="3" customFormat="1" ht="12" customHeight="1">
      <c r="C161" s="35"/>
      <c r="D161" s="176"/>
      <c r="E161" s="177"/>
      <c r="F161" s="182"/>
      <c r="G161" s="201"/>
      <c r="H161" s="235"/>
      <c r="I161" s="42"/>
      <c r="J161" s="386" t="s">
        <v>129</v>
      </c>
      <c r="K161" s="191"/>
      <c r="L161" s="191"/>
      <c r="M161" s="178"/>
      <c r="N161" s="179"/>
      <c r="O161" s="180"/>
      <c r="P161" s="181"/>
      <c r="Q161" s="524"/>
      <c r="R161" s="421"/>
    </row>
    <row r="162" spans="3:29" s="3" customFormat="1" ht="12" customHeight="1">
      <c r="C162" s="35"/>
      <c r="D162" s="176"/>
      <c r="E162" s="177"/>
      <c r="F162" s="182"/>
      <c r="G162" s="201"/>
      <c r="H162" s="235"/>
      <c r="I162" s="42"/>
      <c r="J162" s="386" t="s">
        <v>118</v>
      </c>
      <c r="K162" s="191"/>
      <c r="L162" s="191"/>
      <c r="M162" s="178"/>
      <c r="N162" s="179"/>
      <c r="O162" s="180"/>
      <c r="P162" s="181"/>
      <c r="Q162" s="524"/>
      <c r="R162" s="421"/>
    </row>
    <row r="163" spans="3:29" s="7" customFormat="1" ht="15" customHeight="1">
      <c r="C163" s="35"/>
      <c r="D163" s="176"/>
      <c r="E163" s="177"/>
      <c r="F163" s="182"/>
      <c r="G163" s="201"/>
      <c r="H163" s="235"/>
      <c r="I163" s="42"/>
      <c r="J163" s="386" t="s">
        <v>119</v>
      </c>
      <c r="K163" s="191"/>
      <c r="L163" s="191"/>
      <c r="M163" s="178"/>
      <c r="N163" s="179"/>
      <c r="O163" s="180"/>
      <c r="P163" s="181"/>
      <c r="Q163" s="524"/>
      <c r="R163" s="419"/>
    </row>
    <row r="164" spans="3:29" s="7" customFormat="1" ht="18" customHeight="1">
      <c r="C164" s="35"/>
      <c r="D164" s="176"/>
      <c r="E164" s="177"/>
      <c r="F164" s="182"/>
      <c r="G164" s="201"/>
      <c r="H164" s="235"/>
      <c r="I164" s="42"/>
      <c r="J164" s="386" t="s">
        <v>96</v>
      </c>
      <c r="K164" s="191"/>
      <c r="L164" s="191"/>
      <c r="M164" s="178"/>
      <c r="N164" s="179"/>
      <c r="O164" s="180"/>
      <c r="P164" s="181"/>
      <c r="Q164" s="524"/>
      <c r="R164" s="420"/>
    </row>
    <row r="165" spans="3:29" s="7" customFormat="1" ht="18" customHeight="1">
      <c r="C165" s="35"/>
      <c r="D165" s="176"/>
      <c r="E165" s="177"/>
      <c r="F165" s="182"/>
      <c r="G165" s="201"/>
      <c r="H165" s="235"/>
      <c r="I165" s="42"/>
      <c r="J165" s="386" t="s">
        <v>97</v>
      </c>
      <c r="K165" s="191"/>
      <c r="L165" s="191"/>
      <c r="M165" s="178"/>
      <c r="N165" s="179"/>
      <c r="O165" s="180"/>
      <c r="P165" s="181"/>
      <c r="Q165" s="524"/>
      <c r="R165" s="421"/>
    </row>
    <row r="166" spans="3:29" s="7" customFormat="1" ht="14.25" customHeight="1">
      <c r="C166" s="35"/>
      <c r="D166" s="176"/>
      <c r="E166" s="177"/>
      <c r="F166" s="182"/>
      <c r="G166" s="201"/>
      <c r="H166" s="235"/>
      <c r="I166" s="42"/>
      <c r="J166" s="386" t="s">
        <v>98</v>
      </c>
      <c r="K166" s="191"/>
      <c r="L166" s="191"/>
      <c r="M166" s="178"/>
      <c r="N166" s="179"/>
      <c r="O166" s="180"/>
      <c r="P166" s="181"/>
      <c r="Q166" s="524"/>
      <c r="R166" s="421"/>
    </row>
    <row r="167" spans="3:29" s="7" customFormat="1" ht="14.25" customHeight="1">
      <c r="C167" s="35"/>
      <c r="D167" s="176"/>
      <c r="E167" s="177"/>
      <c r="F167" s="182"/>
      <c r="G167" s="201"/>
      <c r="H167" s="235"/>
      <c r="I167" s="42"/>
      <c r="J167" s="190" t="s">
        <v>99</v>
      </c>
      <c r="K167" s="191"/>
      <c r="L167" s="191"/>
      <c r="M167" s="178"/>
      <c r="N167" s="179"/>
      <c r="O167" s="180"/>
      <c r="P167" s="181"/>
      <c r="Q167" s="524"/>
      <c r="R167" s="421"/>
    </row>
    <row r="168" spans="3:29" s="7" customFormat="1" ht="16">
      <c r="C168" s="35"/>
      <c r="D168" s="176"/>
      <c r="E168" s="177"/>
      <c r="F168" s="182"/>
      <c r="G168" s="201"/>
      <c r="H168" s="235"/>
      <c r="I168" s="42"/>
      <c r="J168" s="190" t="s">
        <v>100</v>
      </c>
      <c r="K168" s="191"/>
      <c r="L168" s="191"/>
      <c r="M168" s="178"/>
      <c r="N168" s="179"/>
      <c r="O168" s="180"/>
      <c r="P168" s="181"/>
      <c r="Q168" s="524"/>
      <c r="R168" s="421"/>
    </row>
    <row r="169" spans="3:29" s="7" customFormat="1" ht="14.25" customHeight="1">
      <c r="C169" s="35"/>
      <c r="D169" s="176"/>
      <c r="E169" s="177"/>
      <c r="F169" s="182"/>
      <c r="G169" s="201"/>
      <c r="H169" s="235"/>
      <c r="I169" s="42"/>
      <c r="J169" s="190" t="s">
        <v>101</v>
      </c>
      <c r="K169" s="191"/>
      <c r="L169" s="191"/>
      <c r="M169" s="178"/>
      <c r="N169" s="179"/>
      <c r="O169" s="180"/>
      <c r="P169" s="181"/>
      <c r="Q169" s="524"/>
      <c r="R169" s="424"/>
      <c r="S169" s="189"/>
      <c r="T169" s="189"/>
      <c r="U169" s="189"/>
      <c r="V169" s="189"/>
      <c r="W169" s="189"/>
      <c r="X169" s="189"/>
      <c r="Y169" s="189"/>
      <c r="Z169" s="189"/>
      <c r="AA169" s="189"/>
      <c r="AB169" s="189"/>
      <c r="AC169" s="189"/>
    </row>
    <row r="170" spans="3:29" s="7" customFormat="1" ht="16">
      <c r="C170" s="35"/>
      <c r="D170" s="176"/>
      <c r="E170" s="177"/>
      <c r="F170" s="182"/>
      <c r="G170" s="201"/>
      <c r="H170" s="235"/>
      <c r="I170" s="42"/>
      <c r="J170" s="190" t="s">
        <v>102</v>
      </c>
      <c r="K170" s="191"/>
      <c r="L170" s="191"/>
      <c r="M170" s="178"/>
      <c r="N170" s="179"/>
      <c r="O170" s="180"/>
      <c r="P170" s="181"/>
      <c r="Q170" s="524"/>
      <c r="R170" s="418"/>
    </row>
    <row r="171" spans="3:29" ht="13.5" customHeight="1">
      <c r="C171" s="35"/>
      <c r="D171" s="176"/>
      <c r="E171" s="177"/>
      <c r="F171" s="182"/>
      <c r="G171" s="201"/>
      <c r="H171" s="235"/>
      <c r="I171" s="42"/>
      <c r="J171" s="190" t="s">
        <v>121</v>
      </c>
      <c r="K171" s="191"/>
      <c r="L171" s="191"/>
      <c r="M171" s="178"/>
      <c r="N171" s="179"/>
      <c r="O171" s="180"/>
      <c r="P171" s="181"/>
      <c r="Q171" s="524"/>
      <c r="R171" s="420"/>
    </row>
    <row r="172" spans="3:29" ht="13.5" customHeight="1">
      <c r="C172" s="35"/>
      <c r="D172" s="176"/>
      <c r="E172" s="177"/>
      <c r="F172" s="182"/>
      <c r="G172" s="201"/>
      <c r="H172" s="235"/>
      <c r="I172" s="42"/>
      <c r="J172" s="190" t="s">
        <v>103</v>
      </c>
      <c r="K172" s="191"/>
      <c r="L172" s="191"/>
      <c r="M172" s="178"/>
      <c r="N172" s="179"/>
      <c r="O172" s="180"/>
      <c r="P172" s="181"/>
      <c r="Q172" s="524"/>
      <c r="R172" s="420"/>
    </row>
    <row r="173" spans="3:29" ht="13.5" customHeight="1">
      <c r="C173" s="35"/>
      <c r="D173" s="176"/>
      <c r="E173" s="177"/>
      <c r="F173" s="182"/>
      <c r="G173" s="201"/>
      <c r="H173" s="235"/>
      <c r="I173" s="42"/>
      <c r="J173" s="190" t="s">
        <v>83</v>
      </c>
      <c r="K173" s="191"/>
      <c r="L173" s="191"/>
      <c r="M173" s="178"/>
      <c r="N173" s="179"/>
      <c r="O173" s="180"/>
      <c r="P173" s="181"/>
      <c r="Q173" s="524"/>
      <c r="R173" s="420"/>
    </row>
    <row r="174" spans="3:29" ht="13.5" customHeight="1">
      <c r="C174" s="35"/>
      <c r="D174" s="176"/>
      <c r="E174" s="177"/>
      <c r="F174" s="182"/>
      <c r="G174" s="201"/>
      <c r="H174" s="235"/>
      <c r="I174" s="42"/>
      <c r="J174" s="190" t="s">
        <v>55</v>
      </c>
      <c r="K174" s="191"/>
      <c r="L174" s="191"/>
      <c r="M174" s="178"/>
      <c r="N174" s="179"/>
      <c r="O174" s="180"/>
      <c r="P174" s="181"/>
      <c r="Q174" s="524"/>
      <c r="R174" s="420"/>
    </row>
    <row r="175" spans="3:29" s="7" customFormat="1" ht="14.25" customHeight="1">
      <c r="C175" s="35"/>
      <c r="D175" s="176"/>
      <c r="E175" s="177"/>
      <c r="F175" s="182"/>
      <c r="G175" s="201"/>
      <c r="H175" s="235"/>
      <c r="I175" s="42"/>
      <c r="J175" s="190" t="s">
        <v>120</v>
      </c>
      <c r="K175" s="191"/>
      <c r="L175" s="191"/>
      <c r="M175" s="178"/>
      <c r="N175" s="179"/>
      <c r="O175" s="180"/>
      <c r="P175" s="181"/>
      <c r="Q175" s="524"/>
      <c r="R175" s="425"/>
    </row>
    <row r="176" spans="3:29" ht="13.5" customHeight="1">
      <c r="C176" s="35"/>
      <c r="D176" s="176"/>
      <c r="E176" s="177"/>
      <c r="F176" s="182"/>
      <c r="G176" s="201"/>
      <c r="H176" s="235"/>
      <c r="I176" s="42"/>
      <c r="J176" s="190" t="s">
        <v>140</v>
      </c>
      <c r="K176" s="191"/>
      <c r="L176" s="191"/>
      <c r="M176" s="178"/>
      <c r="N176" s="179"/>
      <c r="O176" s="180"/>
      <c r="P176" s="181"/>
      <c r="Q176" s="524"/>
      <c r="R176" s="425"/>
    </row>
    <row r="177" spans="3:18" ht="13.5" customHeight="1">
      <c r="C177" s="35"/>
      <c r="D177" s="176"/>
      <c r="E177" s="177"/>
      <c r="F177" s="182"/>
      <c r="G177" s="201"/>
      <c r="H177" s="235"/>
      <c r="I177" s="42"/>
      <c r="J177" s="190"/>
      <c r="K177" s="191"/>
      <c r="L177" s="191"/>
      <c r="M177" s="178"/>
      <c r="N177" s="179"/>
      <c r="O177" s="180"/>
      <c r="P177" s="181"/>
      <c r="Q177" s="524"/>
      <c r="R177" s="420"/>
    </row>
    <row r="178" spans="3:18" ht="13.5" customHeight="1">
      <c r="C178" s="400"/>
      <c r="D178" s="401"/>
      <c r="E178" s="402"/>
      <c r="F178" s="3"/>
      <c r="G178" s="403"/>
      <c r="H178" s="404"/>
      <c r="I178" s="405"/>
      <c r="J178" s="386" t="s">
        <v>92</v>
      </c>
      <c r="K178" s="406"/>
      <c r="L178" s="406"/>
      <c r="M178" s="407"/>
      <c r="N178" s="408"/>
      <c r="O178" s="409"/>
      <c r="P178" s="410"/>
      <c r="Q178" s="524"/>
      <c r="R178" s="425"/>
    </row>
    <row r="179" spans="3:18" ht="13.5" customHeight="1">
      <c r="C179" s="400"/>
      <c r="D179" s="401"/>
      <c r="E179" s="402"/>
      <c r="F179" s="3"/>
      <c r="G179" s="403"/>
      <c r="H179" s="404"/>
      <c r="I179" s="405"/>
      <c r="J179" s="386" t="s">
        <v>116</v>
      </c>
      <c r="K179" s="406"/>
      <c r="L179" s="406"/>
      <c r="M179" s="407"/>
      <c r="N179" s="408"/>
      <c r="O179" s="409"/>
      <c r="P179" s="410"/>
      <c r="Q179" s="524"/>
      <c r="R179" s="425"/>
    </row>
    <row r="180" spans="3:18" s="193" customFormat="1" ht="13.5" customHeight="1">
      <c r="C180" s="400"/>
      <c r="D180" s="401"/>
      <c r="E180" s="402"/>
      <c r="F180" s="3"/>
      <c r="G180" s="403"/>
      <c r="H180" s="404"/>
      <c r="I180" s="405"/>
      <c r="J180" s="386" t="s">
        <v>127</v>
      </c>
      <c r="K180" s="406"/>
      <c r="L180" s="406"/>
      <c r="M180" s="407"/>
      <c r="N180" s="408"/>
      <c r="O180" s="409"/>
      <c r="P180" s="410"/>
      <c r="Q180" s="524"/>
      <c r="R180" s="425"/>
    </row>
    <row r="181" spans="3:18" s="7" customFormat="1" ht="16">
      <c r="C181" s="400"/>
      <c r="D181" s="401"/>
      <c r="E181" s="402"/>
      <c r="F181" s="3"/>
      <c r="G181" s="403"/>
      <c r="H181" s="404"/>
      <c r="I181" s="405"/>
      <c r="J181" s="386" t="s">
        <v>87</v>
      </c>
      <c r="K181" s="406"/>
      <c r="L181" s="406"/>
      <c r="M181" s="407"/>
      <c r="N181" s="408"/>
      <c r="O181" s="409"/>
      <c r="P181" s="410"/>
      <c r="Q181" s="524"/>
      <c r="R181" s="420"/>
    </row>
    <row r="182" spans="3:18" ht="13.5" customHeight="1">
      <c r="C182" s="35"/>
      <c r="D182" s="176"/>
      <c r="E182" s="177"/>
      <c r="F182" s="182"/>
      <c r="G182" s="201"/>
      <c r="H182" s="235"/>
      <c r="I182" s="42"/>
      <c r="J182" s="190" t="s">
        <v>88</v>
      </c>
      <c r="K182" s="191"/>
      <c r="L182" s="191"/>
      <c r="M182" s="178"/>
      <c r="N182" s="179"/>
      <c r="O182" s="180"/>
      <c r="P182" s="181"/>
      <c r="Q182" s="524"/>
      <c r="R182" s="420"/>
    </row>
    <row r="183" spans="3:18" s="33" customFormat="1" ht="12.75" customHeight="1">
      <c r="C183" s="35"/>
      <c r="D183" s="176"/>
      <c r="E183" s="177"/>
      <c r="F183" s="182"/>
      <c r="G183" s="201"/>
      <c r="H183" s="235"/>
      <c r="I183" s="42"/>
      <c r="J183" s="190"/>
      <c r="K183" s="191"/>
      <c r="L183" s="191"/>
      <c r="M183" s="178"/>
      <c r="N183" s="179"/>
      <c r="O183" s="180"/>
      <c r="P183" s="181"/>
      <c r="Q183" s="524"/>
      <c r="R183" s="420"/>
    </row>
    <row r="184" spans="3:18" s="7" customFormat="1" ht="12.75" customHeight="1">
      <c r="C184" s="35"/>
      <c r="D184" s="176"/>
      <c r="E184" s="177"/>
      <c r="F184" s="182"/>
      <c r="G184" s="201"/>
      <c r="H184" s="235"/>
      <c r="I184" s="42"/>
      <c r="J184" s="190" t="s">
        <v>115</v>
      </c>
      <c r="K184" s="191"/>
      <c r="L184" s="191"/>
      <c r="M184" s="178"/>
      <c r="N184" s="179"/>
      <c r="O184" s="180"/>
      <c r="P184" s="181"/>
      <c r="Q184" s="524"/>
      <c r="R184" s="420"/>
    </row>
    <row r="185" spans="3:18" s="7" customFormat="1" ht="14.25" customHeight="1">
      <c r="C185" s="35"/>
      <c r="D185" s="176"/>
      <c r="E185" s="177"/>
      <c r="F185" s="182"/>
      <c r="G185" s="201"/>
      <c r="H185" s="235"/>
      <c r="I185" s="42"/>
      <c r="J185" s="190" t="s">
        <v>82</v>
      </c>
      <c r="K185" s="191"/>
      <c r="L185" s="191"/>
      <c r="M185" s="178"/>
      <c r="N185" s="179"/>
      <c r="O185" s="180"/>
      <c r="P185" s="181"/>
      <c r="Q185" s="524"/>
      <c r="R185" s="420"/>
    </row>
    <row r="186" spans="3:18" s="33" customFormat="1" ht="12.75" customHeight="1">
      <c r="C186" s="35"/>
      <c r="D186" s="176"/>
      <c r="E186" s="177"/>
      <c r="F186" s="182"/>
      <c r="G186" s="201"/>
      <c r="H186" s="235"/>
      <c r="I186" s="42"/>
      <c r="J186" s="190" t="s">
        <v>54</v>
      </c>
      <c r="K186" s="191"/>
      <c r="L186" s="191"/>
      <c r="M186" s="178"/>
      <c r="N186" s="179"/>
      <c r="O186" s="180"/>
      <c r="P186" s="181"/>
      <c r="Q186" s="524"/>
      <c r="R186" s="420"/>
    </row>
    <row r="187" spans="3:18" s="33" customFormat="1" ht="12.75" customHeight="1">
      <c r="C187" s="35"/>
      <c r="D187" s="176"/>
      <c r="E187" s="177"/>
      <c r="F187" s="182"/>
      <c r="G187" s="201"/>
      <c r="H187" s="235"/>
      <c r="I187" s="42"/>
      <c r="J187" s="190"/>
      <c r="K187" s="191"/>
      <c r="L187" s="191"/>
      <c r="M187" s="178"/>
      <c r="N187" s="179"/>
      <c r="O187" s="180"/>
      <c r="P187" s="181"/>
      <c r="Q187" s="524"/>
      <c r="R187" s="420"/>
    </row>
    <row r="188" spans="3:18" s="7" customFormat="1" ht="14.25" customHeight="1" thickBot="1">
      <c r="C188" s="35"/>
      <c r="D188" s="176"/>
      <c r="E188" s="176"/>
      <c r="F188" s="176"/>
      <c r="G188" s="214"/>
      <c r="H188" s="236"/>
      <c r="I188" s="37"/>
      <c r="J188" s="190"/>
      <c r="K188" s="191"/>
      <c r="L188" s="191"/>
      <c r="M188" s="178"/>
      <c r="N188" s="179"/>
      <c r="O188" s="47"/>
      <c r="P188" s="181"/>
      <c r="Q188" s="524"/>
      <c r="R188" s="420"/>
    </row>
    <row r="189" spans="3:18" s="33" customFormat="1" ht="12.75" customHeight="1" thickTop="1" thickBot="1">
      <c r="C189" s="29"/>
      <c r="D189" s="30"/>
      <c r="E189" s="30"/>
      <c r="F189" s="30"/>
      <c r="G189" s="202"/>
      <c r="H189" s="237"/>
      <c r="I189" s="31"/>
      <c r="J189" s="183"/>
      <c r="K189" s="184"/>
      <c r="L189" s="184"/>
      <c r="M189" s="184"/>
      <c r="N189" s="184"/>
      <c r="O189" s="526"/>
      <c r="P189" s="526"/>
      <c r="Q189" s="185">
        <f>SUM(Q111:Q112)</f>
        <v>35530.747861680014</v>
      </c>
      <c r="R189" s="420"/>
    </row>
    <row r="190" spans="3:18" s="33" customFormat="1" ht="12.75" customHeight="1" thickTop="1">
      <c r="C190" s="186"/>
      <c r="D190" s="1"/>
      <c r="E190" s="1"/>
      <c r="F190" s="1"/>
      <c r="G190" s="215"/>
      <c r="H190" s="238"/>
      <c r="I190" s="1"/>
      <c r="J190" s="187"/>
      <c r="K190" s="188"/>
      <c r="L190" s="188"/>
      <c r="M190" s="187"/>
      <c r="N190" s="188"/>
      <c r="O190" s="45"/>
      <c r="P190" s="45" t="s">
        <v>15</v>
      </c>
      <c r="Q190" s="430">
        <f>Q56-Q98</f>
        <v>-113972.70875601942</v>
      </c>
      <c r="R190" s="420"/>
    </row>
    <row r="191" spans="3:18" s="33" customFormat="1" ht="12.75" customHeight="1">
      <c r="C191" s="1"/>
      <c r="D191" s="1"/>
      <c r="E191" s="1"/>
      <c r="F191" s="1"/>
      <c r="G191" s="193"/>
      <c r="H191" s="238"/>
      <c r="I191" s="1"/>
      <c r="J191" s="1"/>
      <c r="K191" s="1"/>
      <c r="L191" s="1"/>
      <c r="M191" s="1"/>
      <c r="N191" s="1"/>
      <c r="O191" s="1"/>
      <c r="P191" s="1"/>
      <c r="Q191" s="1"/>
      <c r="R191" s="420"/>
    </row>
    <row r="192" spans="3:18" s="33" customFormat="1" ht="15" customHeight="1">
      <c r="C192" s="1"/>
      <c r="D192" s="1"/>
      <c r="E192" s="1"/>
      <c r="F192" s="1"/>
      <c r="G192" s="193"/>
      <c r="H192" s="238"/>
      <c r="I192" s="1"/>
      <c r="J192" s="1"/>
      <c r="K192" s="1"/>
      <c r="L192" s="1"/>
      <c r="M192" s="1"/>
      <c r="N192" s="1"/>
      <c r="O192" s="1"/>
      <c r="P192" s="1"/>
      <c r="Q192" s="1"/>
      <c r="R192" s="420"/>
    </row>
    <row r="193" spans="3:18" s="33" customFormat="1" ht="15" customHeight="1">
      <c r="C193" s="1"/>
      <c r="D193" s="1"/>
      <c r="E193" s="1"/>
      <c r="F193" s="1"/>
      <c r="G193" s="193"/>
      <c r="H193" s="238"/>
      <c r="I193" s="1"/>
      <c r="J193" s="1"/>
      <c r="K193" s="1"/>
      <c r="L193" s="1"/>
      <c r="M193" s="1"/>
      <c r="N193" s="1"/>
      <c r="O193" s="1"/>
      <c r="P193" s="1"/>
      <c r="Q193" s="1"/>
      <c r="R193" s="420"/>
    </row>
    <row r="194" spans="3:18" s="33" customFormat="1" ht="15" customHeight="1">
      <c r="C194" s="1"/>
      <c r="D194" s="1"/>
      <c r="E194" s="1"/>
      <c r="F194" s="1"/>
      <c r="G194" s="193"/>
      <c r="H194" s="238"/>
      <c r="I194" s="1"/>
      <c r="J194" s="1"/>
      <c r="K194" s="1"/>
      <c r="L194" s="1"/>
      <c r="M194" s="1"/>
      <c r="N194" s="1"/>
      <c r="O194" s="1"/>
      <c r="P194" s="1"/>
      <c r="Q194" s="1"/>
      <c r="R194" s="420"/>
    </row>
    <row r="195" spans="3:18" s="33" customFormat="1" ht="15" customHeight="1">
      <c r="C195" s="1"/>
      <c r="D195" s="1"/>
      <c r="E195" s="1"/>
      <c r="F195" s="1"/>
      <c r="G195" s="193"/>
      <c r="H195" s="238"/>
      <c r="I195" s="1"/>
      <c r="J195" s="1"/>
      <c r="K195" s="1"/>
      <c r="L195" s="1"/>
      <c r="M195" s="1"/>
      <c r="N195" s="1"/>
      <c r="O195" s="1"/>
      <c r="P195" s="1"/>
      <c r="Q195" s="1"/>
      <c r="R195" s="420"/>
    </row>
    <row r="196" spans="3:18" s="33" customFormat="1" ht="15" customHeight="1">
      <c r="C196" s="1"/>
      <c r="D196" s="1"/>
      <c r="E196" s="1"/>
      <c r="F196" s="1"/>
      <c r="G196" s="193"/>
      <c r="H196" s="238"/>
      <c r="I196" s="1"/>
      <c r="J196" s="1"/>
      <c r="K196" s="1"/>
      <c r="L196" s="1"/>
      <c r="M196" s="1"/>
      <c r="N196" s="1"/>
      <c r="O196" s="1"/>
      <c r="P196" s="1"/>
      <c r="Q196" s="1"/>
      <c r="R196" s="420"/>
    </row>
    <row r="197" spans="3:18" s="33" customFormat="1" ht="15" customHeight="1">
      <c r="C197" s="1"/>
      <c r="D197" s="1"/>
      <c r="E197" s="1"/>
      <c r="F197" s="1"/>
      <c r="G197" s="193"/>
      <c r="H197" s="238"/>
      <c r="I197" s="1"/>
      <c r="J197" s="1"/>
      <c r="K197" s="1"/>
      <c r="L197" s="1"/>
      <c r="M197" s="1"/>
      <c r="N197" s="1"/>
      <c r="O197" s="1"/>
      <c r="P197" s="1"/>
      <c r="Q197" s="1"/>
      <c r="R197" s="420"/>
    </row>
    <row r="198" spans="3:18" s="33" customFormat="1" ht="15" customHeight="1">
      <c r="C198" s="1"/>
      <c r="D198" s="1"/>
      <c r="E198" s="1"/>
      <c r="F198" s="1"/>
      <c r="G198" s="193"/>
      <c r="H198" s="238"/>
      <c r="I198" s="1"/>
      <c r="J198" s="1"/>
      <c r="K198" s="1"/>
      <c r="L198" s="1"/>
      <c r="M198" s="1"/>
      <c r="N198" s="1"/>
      <c r="O198" s="1"/>
      <c r="P198" s="1"/>
      <c r="Q198" s="1"/>
      <c r="R198" s="420"/>
    </row>
    <row r="199" spans="3:18" s="33" customFormat="1" ht="15" customHeight="1">
      <c r="C199" s="1"/>
      <c r="D199" s="1"/>
      <c r="E199" s="1"/>
      <c r="F199" s="1"/>
      <c r="G199" s="193"/>
      <c r="H199" s="238"/>
      <c r="I199" s="1"/>
      <c r="J199" s="1"/>
      <c r="K199" s="1"/>
      <c r="L199" s="1"/>
      <c r="M199" s="1"/>
      <c r="N199" s="1"/>
      <c r="O199" s="1"/>
      <c r="P199" s="1"/>
      <c r="Q199" s="1"/>
      <c r="R199" s="420"/>
    </row>
    <row r="200" spans="3:18" s="33" customFormat="1" ht="15" customHeight="1">
      <c r="C200" s="1"/>
      <c r="D200" s="1"/>
      <c r="E200" s="1"/>
      <c r="F200" s="1"/>
      <c r="G200" s="193"/>
      <c r="H200" s="238"/>
      <c r="I200" s="1"/>
      <c r="J200" s="1"/>
      <c r="K200" s="1"/>
      <c r="L200" s="1"/>
      <c r="M200" s="1"/>
      <c r="N200" s="1"/>
      <c r="O200" s="1"/>
      <c r="P200" s="1"/>
      <c r="Q200" s="1"/>
      <c r="R200" s="420"/>
    </row>
    <row r="201" spans="3:18" s="33" customFormat="1" ht="15" customHeight="1">
      <c r="C201" s="1"/>
      <c r="D201" s="1"/>
      <c r="E201" s="1"/>
      <c r="F201" s="1"/>
      <c r="G201" s="193"/>
      <c r="H201" s="238"/>
      <c r="I201" s="1"/>
      <c r="J201" s="1"/>
      <c r="K201" s="1"/>
      <c r="L201" s="1"/>
      <c r="M201" s="1"/>
      <c r="N201" s="1"/>
      <c r="O201" s="1"/>
      <c r="P201" s="1"/>
      <c r="Q201" s="1"/>
      <c r="R201" s="420"/>
    </row>
    <row r="202" spans="3:18" s="33" customFormat="1" ht="15" customHeight="1">
      <c r="C202" s="1"/>
      <c r="D202" s="1"/>
      <c r="E202" s="1"/>
      <c r="F202" s="1"/>
      <c r="G202" s="193"/>
      <c r="H202" s="238"/>
      <c r="I202" s="1"/>
      <c r="J202" s="1"/>
      <c r="K202" s="1"/>
      <c r="L202" s="1"/>
      <c r="M202" s="1"/>
      <c r="N202" s="1"/>
      <c r="O202" s="1"/>
      <c r="P202" s="1"/>
      <c r="Q202" s="1"/>
      <c r="R202" s="420"/>
    </row>
    <row r="203" spans="3:18" s="33" customFormat="1" ht="15" customHeight="1">
      <c r="C203" s="1"/>
      <c r="D203" s="1"/>
      <c r="E203" s="1"/>
      <c r="F203" s="1"/>
      <c r="G203" s="193"/>
      <c r="H203" s="238"/>
      <c r="I203" s="1"/>
      <c r="J203" s="1"/>
      <c r="K203" s="1"/>
      <c r="L203" s="1"/>
      <c r="M203" s="1"/>
      <c r="N203" s="1"/>
      <c r="O203" s="1"/>
      <c r="P203" s="1"/>
      <c r="Q203" s="1"/>
      <c r="R203" s="420"/>
    </row>
    <row r="204" spans="3:18" s="33" customFormat="1" ht="15" customHeight="1">
      <c r="C204" s="1"/>
      <c r="D204" s="1"/>
      <c r="E204" s="1"/>
      <c r="F204" s="1"/>
      <c r="G204" s="193"/>
      <c r="H204" s="238"/>
      <c r="I204" s="1"/>
      <c r="J204" s="1"/>
      <c r="K204" s="1"/>
      <c r="L204" s="1"/>
      <c r="M204" s="1"/>
      <c r="N204" s="1"/>
      <c r="O204" s="1"/>
      <c r="P204" s="1"/>
      <c r="Q204" s="1"/>
      <c r="R204" s="420"/>
    </row>
    <row r="205" spans="3:18" s="33" customFormat="1" ht="15" customHeight="1">
      <c r="C205" s="1"/>
      <c r="D205" s="1"/>
      <c r="E205" s="1"/>
      <c r="F205" s="1"/>
      <c r="G205" s="193"/>
      <c r="H205" s="238"/>
      <c r="I205" s="1"/>
      <c r="J205" s="1"/>
      <c r="K205" s="1"/>
      <c r="L205" s="1"/>
      <c r="M205" s="1"/>
      <c r="N205" s="1"/>
      <c r="O205" s="1"/>
      <c r="P205" s="1"/>
      <c r="Q205" s="1"/>
      <c r="R205" s="420"/>
    </row>
    <row r="206" spans="3:18" s="33" customFormat="1" ht="15" customHeight="1">
      <c r="C206" s="1"/>
      <c r="D206" s="1"/>
      <c r="E206" s="1"/>
      <c r="F206" s="1"/>
      <c r="G206" s="193"/>
      <c r="H206" s="238"/>
      <c r="I206" s="1"/>
      <c r="J206" s="1"/>
      <c r="K206" s="1"/>
      <c r="L206" s="1"/>
      <c r="M206" s="1"/>
      <c r="N206" s="1"/>
      <c r="O206" s="1"/>
      <c r="P206" s="1"/>
      <c r="Q206" s="1"/>
      <c r="R206" s="420"/>
    </row>
    <row r="207" spans="3:18" s="33" customFormat="1" ht="15" customHeight="1">
      <c r="C207" s="1"/>
      <c r="D207" s="1"/>
      <c r="E207" s="1"/>
      <c r="F207" s="1"/>
      <c r="G207" s="193"/>
      <c r="H207" s="238"/>
      <c r="I207" s="1"/>
      <c r="J207" s="1"/>
      <c r="K207" s="1"/>
      <c r="L207" s="1"/>
      <c r="M207" s="1"/>
      <c r="N207" s="1"/>
      <c r="O207" s="1"/>
      <c r="P207" s="1"/>
      <c r="Q207" s="1"/>
      <c r="R207" s="420"/>
    </row>
    <row r="208" spans="3:18" s="33" customFormat="1" ht="15" customHeight="1">
      <c r="C208" s="1"/>
      <c r="D208" s="1"/>
      <c r="E208" s="1"/>
      <c r="F208" s="1"/>
      <c r="G208" s="98"/>
      <c r="H208" s="239"/>
      <c r="I208" s="46"/>
      <c r="J208" s="46"/>
      <c r="K208" s="46"/>
      <c r="L208" s="46"/>
      <c r="M208" s="46"/>
      <c r="N208" s="46"/>
      <c r="O208" s="46"/>
      <c r="P208" s="46"/>
      <c r="Q208" s="46"/>
      <c r="R208" s="420"/>
    </row>
    <row r="209" spans="3:19" s="33" customFormat="1" ht="15" customHeight="1">
      <c r="C209" s="1"/>
      <c r="D209" s="1"/>
      <c r="E209" s="1"/>
      <c r="F209" s="1"/>
      <c r="G209" s="193"/>
      <c r="H209" s="238"/>
      <c r="I209" s="1"/>
      <c r="J209" s="1"/>
      <c r="K209" s="1"/>
      <c r="L209" s="1"/>
      <c r="M209" s="1"/>
      <c r="N209" s="1"/>
      <c r="O209" s="1"/>
      <c r="P209" s="1"/>
      <c r="Q209" s="1"/>
      <c r="R209" s="420"/>
    </row>
    <row r="210" spans="3:19" s="33" customFormat="1" ht="15" customHeight="1">
      <c r="C210" s="1"/>
      <c r="D210" s="1"/>
      <c r="E210" s="1"/>
      <c r="F210" s="1"/>
      <c r="G210" s="193"/>
      <c r="H210" s="238"/>
      <c r="I210" s="1"/>
      <c r="J210" s="1"/>
      <c r="K210" s="1"/>
      <c r="L210" s="1"/>
      <c r="M210" s="1"/>
      <c r="N210" s="1"/>
      <c r="O210" s="1"/>
      <c r="P210" s="1"/>
      <c r="Q210" s="1"/>
      <c r="R210" s="420"/>
    </row>
    <row r="211" spans="3:19" s="33" customFormat="1" ht="15" customHeight="1">
      <c r="C211" s="1"/>
      <c r="D211" s="1"/>
      <c r="E211" s="1"/>
      <c r="F211" s="1"/>
      <c r="G211" s="193"/>
      <c r="H211" s="238"/>
      <c r="I211" s="1"/>
      <c r="J211" s="1"/>
      <c r="K211" s="1"/>
      <c r="L211" s="1"/>
      <c r="M211" s="1"/>
      <c r="N211" s="1"/>
      <c r="O211" s="1"/>
      <c r="P211" s="1"/>
      <c r="Q211" s="1"/>
      <c r="R211" s="420"/>
    </row>
    <row r="212" spans="3:19" s="33" customFormat="1" ht="15" customHeight="1">
      <c r="C212" s="1"/>
      <c r="D212" s="1"/>
      <c r="E212" s="1"/>
      <c r="F212" s="1"/>
      <c r="G212" s="193"/>
      <c r="H212" s="238"/>
      <c r="I212" s="1"/>
      <c r="J212" s="1"/>
      <c r="K212" s="1"/>
      <c r="L212" s="1"/>
      <c r="M212" s="1"/>
      <c r="N212" s="1"/>
      <c r="O212" s="1"/>
      <c r="P212" s="1"/>
      <c r="Q212" s="1"/>
      <c r="R212" s="420"/>
    </row>
    <row r="213" spans="3:19" s="33" customFormat="1" ht="15" customHeight="1">
      <c r="C213" s="1"/>
      <c r="D213" s="1"/>
      <c r="E213" s="1"/>
      <c r="F213" s="1"/>
      <c r="G213" s="193"/>
      <c r="H213" s="238"/>
      <c r="I213" s="1"/>
      <c r="J213" s="1"/>
      <c r="K213" s="1"/>
      <c r="L213" s="1"/>
      <c r="M213" s="1"/>
      <c r="N213" s="1"/>
      <c r="O213" s="1"/>
      <c r="P213" s="1"/>
      <c r="Q213" s="1"/>
      <c r="R213" s="420"/>
    </row>
    <row r="214" spans="3:19" s="33" customFormat="1" ht="15" customHeight="1">
      <c r="C214" s="1"/>
      <c r="D214" s="1"/>
      <c r="E214" s="1"/>
      <c r="F214" s="1"/>
      <c r="G214" s="193"/>
      <c r="H214" s="238"/>
      <c r="I214" s="1"/>
      <c r="J214" s="1"/>
      <c r="K214" s="1"/>
      <c r="L214" s="1"/>
      <c r="M214" s="1"/>
      <c r="N214" s="1"/>
      <c r="O214" s="1"/>
      <c r="P214" s="1"/>
      <c r="Q214" s="1"/>
      <c r="R214" s="420"/>
    </row>
    <row r="215" spans="3:19" s="33" customFormat="1" ht="15" customHeight="1">
      <c r="C215" s="1"/>
      <c r="D215" s="1"/>
      <c r="E215" s="1"/>
      <c r="F215" s="1"/>
      <c r="G215" s="193"/>
      <c r="H215" s="238"/>
      <c r="I215" s="1"/>
      <c r="J215" s="1"/>
      <c r="K215" s="1"/>
      <c r="L215" s="1"/>
      <c r="M215" s="1"/>
      <c r="N215" s="1"/>
      <c r="O215" s="1"/>
      <c r="P215" s="1"/>
      <c r="Q215" s="1"/>
      <c r="R215" s="420"/>
    </row>
    <row r="216" spans="3:19" s="33" customFormat="1" ht="15" customHeight="1">
      <c r="C216" s="1"/>
      <c r="D216" s="1"/>
      <c r="E216" s="1"/>
      <c r="F216" s="1"/>
      <c r="G216" s="193"/>
      <c r="H216" s="238"/>
      <c r="I216" s="1"/>
      <c r="J216" s="1"/>
      <c r="K216" s="1"/>
      <c r="L216" s="1"/>
      <c r="M216" s="1"/>
      <c r="N216" s="1"/>
      <c r="O216" s="1"/>
      <c r="P216" s="1"/>
      <c r="Q216" s="1"/>
      <c r="R216" s="420"/>
    </row>
    <row r="217" spans="3:19" s="33" customFormat="1" ht="15" customHeight="1">
      <c r="C217" s="1"/>
      <c r="D217" s="1"/>
      <c r="E217" s="1"/>
      <c r="F217" s="1"/>
      <c r="G217" s="193"/>
      <c r="H217" s="238"/>
      <c r="I217" s="1"/>
      <c r="J217" s="1"/>
      <c r="K217" s="1"/>
      <c r="L217" s="1"/>
      <c r="M217" s="1"/>
      <c r="N217" s="1"/>
      <c r="O217" s="1"/>
      <c r="P217" s="1"/>
      <c r="Q217" s="1"/>
      <c r="R217" s="420"/>
    </row>
    <row r="218" spans="3:19" s="33" customFormat="1" ht="15" customHeight="1">
      <c r="C218" s="1"/>
      <c r="D218" s="1"/>
      <c r="E218" s="1"/>
      <c r="F218" s="1"/>
      <c r="G218" s="193"/>
      <c r="H218" s="238"/>
      <c r="I218" s="1"/>
      <c r="J218" s="1"/>
      <c r="K218" s="1"/>
      <c r="L218" s="1"/>
      <c r="M218" s="1"/>
      <c r="N218" s="1"/>
      <c r="O218" s="1"/>
      <c r="P218" s="1"/>
      <c r="Q218" s="1"/>
      <c r="R218" s="420"/>
    </row>
    <row r="219" spans="3:19" s="33" customFormat="1" ht="15" customHeight="1">
      <c r="C219" s="1"/>
      <c r="D219" s="1"/>
      <c r="E219" s="1"/>
      <c r="F219" s="1"/>
      <c r="G219" s="193"/>
      <c r="H219" s="238"/>
      <c r="I219" s="1"/>
      <c r="J219" s="1"/>
      <c r="K219" s="1"/>
      <c r="L219" s="1"/>
      <c r="M219" s="1"/>
      <c r="N219" s="1"/>
      <c r="O219" s="1"/>
      <c r="P219" s="1"/>
      <c r="Q219" s="1"/>
      <c r="R219" s="420"/>
      <c r="S219" s="399"/>
    </row>
    <row r="220" spans="3:19" s="33" customFormat="1" ht="15" customHeight="1">
      <c r="C220" s="1"/>
      <c r="D220" s="1"/>
      <c r="E220" s="1"/>
      <c r="F220" s="1"/>
      <c r="G220" s="193"/>
      <c r="H220" s="238"/>
      <c r="I220" s="1"/>
      <c r="J220" s="1"/>
      <c r="K220" s="1"/>
      <c r="L220" s="1"/>
      <c r="M220" s="1"/>
      <c r="N220" s="1"/>
      <c r="O220" s="1"/>
      <c r="P220" s="1"/>
      <c r="Q220" s="1"/>
      <c r="R220" s="420"/>
      <c r="S220" s="399"/>
    </row>
    <row r="221" spans="3:19" s="33" customFormat="1" ht="15" customHeight="1">
      <c r="C221" s="1"/>
      <c r="D221" s="1"/>
      <c r="E221" s="1"/>
      <c r="F221" s="1"/>
      <c r="G221" s="193"/>
      <c r="H221" s="238"/>
      <c r="I221" s="1"/>
      <c r="J221" s="1"/>
      <c r="K221" s="1"/>
      <c r="L221" s="1"/>
      <c r="M221" s="1"/>
      <c r="N221" s="1"/>
      <c r="O221" s="1"/>
      <c r="P221" s="1"/>
      <c r="Q221" s="1"/>
      <c r="R221" s="420"/>
      <c r="S221" s="399"/>
    </row>
    <row r="222" spans="3:19" s="33" customFormat="1" ht="15" customHeight="1">
      <c r="C222" s="1"/>
      <c r="D222" s="1"/>
      <c r="E222" s="1"/>
      <c r="F222" s="1"/>
      <c r="G222" s="193"/>
      <c r="H222" s="238"/>
      <c r="I222" s="1"/>
      <c r="J222" s="1"/>
      <c r="K222" s="1"/>
      <c r="L222" s="1"/>
      <c r="M222" s="1"/>
      <c r="N222" s="1"/>
      <c r="O222" s="1"/>
      <c r="P222" s="1"/>
      <c r="Q222" s="1"/>
      <c r="R222" s="420"/>
    </row>
    <row r="223" spans="3:19" s="33" customFormat="1" ht="15" customHeight="1">
      <c r="C223" s="1"/>
      <c r="D223" s="1"/>
      <c r="E223" s="1"/>
      <c r="F223" s="1"/>
      <c r="G223" s="193"/>
      <c r="H223" s="238"/>
      <c r="I223" s="1"/>
      <c r="J223" s="1"/>
      <c r="K223" s="1"/>
      <c r="L223" s="1"/>
      <c r="M223" s="1"/>
      <c r="N223" s="1"/>
      <c r="O223" s="1"/>
      <c r="P223" s="1"/>
      <c r="Q223" s="1"/>
      <c r="R223" s="420"/>
    </row>
    <row r="224" spans="3:19" s="33" customFormat="1" ht="15" customHeight="1">
      <c r="C224" s="1"/>
      <c r="D224" s="1"/>
      <c r="E224" s="1"/>
      <c r="F224" s="1"/>
      <c r="G224" s="193"/>
      <c r="H224" s="238"/>
      <c r="I224" s="1"/>
      <c r="J224" s="1"/>
      <c r="K224" s="1"/>
      <c r="L224" s="1"/>
      <c r="M224" s="1"/>
      <c r="N224" s="1"/>
      <c r="O224" s="1"/>
      <c r="P224" s="1"/>
      <c r="Q224" s="1"/>
      <c r="R224" s="420"/>
    </row>
    <row r="225" spans="3:18" s="33" customFormat="1" ht="15" customHeight="1">
      <c r="C225" s="1"/>
      <c r="D225" s="1"/>
      <c r="E225" s="1"/>
      <c r="F225" s="1"/>
      <c r="G225" s="193"/>
      <c r="H225" s="238"/>
      <c r="I225" s="1"/>
      <c r="J225" s="1"/>
      <c r="K225" s="1"/>
      <c r="L225" s="1"/>
      <c r="M225" s="1"/>
      <c r="N225" s="1"/>
      <c r="O225" s="1"/>
      <c r="P225" s="1"/>
      <c r="Q225" s="1"/>
      <c r="R225" s="420"/>
    </row>
    <row r="226" spans="3:18" s="33" customFormat="1" ht="15" customHeight="1">
      <c r="C226" s="1"/>
      <c r="D226" s="1"/>
      <c r="E226" s="1"/>
      <c r="F226" s="1"/>
      <c r="G226" s="193"/>
      <c r="H226" s="238"/>
      <c r="I226" s="1"/>
      <c r="J226" s="1"/>
      <c r="K226" s="1"/>
      <c r="L226" s="1"/>
      <c r="M226" s="1"/>
      <c r="N226" s="1"/>
      <c r="O226" s="1"/>
      <c r="P226" s="1"/>
      <c r="Q226" s="1"/>
      <c r="R226" s="420"/>
    </row>
    <row r="227" spans="3:18" s="33" customFormat="1" ht="15" customHeight="1">
      <c r="C227" s="1"/>
      <c r="D227" s="1"/>
      <c r="E227" s="1"/>
      <c r="F227" s="1"/>
      <c r="G227" s="193"/>
      <c r="H227" s="238"/>
      <c r="I227" s="1"/>
      <c r="J227" s="1"/>
      <c r="K227" s="1"/>
      <c r="L227" s="1"/>
      <c r="M227" s="1"/>
      <c r="N227" s="1"/>
      <c r="O227" s="1"/>
      <c r="P227" s="1"/>
      <c r="Q227" s="1"/>
      <c r="R227" s="420"/>
    </row>
    <row r="228" spans="3:18" s="33" customFormat="1" ht="15" customHeight="1">
      <c r="C228" s="1"/>
      <c r="D228" s="1"/>
      <c r="E228" s="1"/>
      <c r="F228" s="1"/>
      <c r="G228" s="193"/>
      <c r="H228" s="238"/>
      <c r="I228" s="1"/>
      <c r="J228" s="1"/>
      <c r="K228" s="1"/>
      <c r="L228" s="1"/>
      <c r="M228" s="1"/>
      <c r="N228" s="1"/>
      <c r="O228" s="1"/>
      <c r="P228" s="1"/>
      <c r="Q228" s="1"/>
      <c r="R228" s="420"/>
    </row>
    <row r="229" spans="3:18" s="33" customFormat="1" ht="15" customHeight="1">
      <c r="C229" s="1"/>
      <c r="D229" s="1"/>
      <c r="E229" s="1"/>
      <c r="F229" s="1"/>
      <c r="G229" s="193"/>
      <c r="H229" s="238"/>
      <c r="I229" s="1"/>
      <c r="J229" s="1"/>
      <c r="K229" s="1"/>
      <c r="L229" s="1"/>
      <c r="M229" s="1"/>
      <c r="N229" s="1"/>
      <c r="O229" s="1"/>
      <c r="P229" s="1"/>
      <c r="Q229" s="1"/>
      <c r="R229" s="420"/>
    </row>
    <row r="230" spans="3:18" s="33" customFormat="1" ht="15" customHeight="1">
      <c r="C230" s="1"/>
      <c r="D230" s="1"/>
      <c r="E230" s="1"/>
      <c r="F230" s="1"/>
      <c r="G230" s="193"/>
      <c r="H230" s="238"/>
      <c r="I230" s="1"/>
      <c r="J230" s="1"/>
      <c r="K230" s="1"/>
      <c r="L230" s="1"/>
      <c r="M230" s="1"/>
      <c r="N230" s="1"/>
      <c r="O230" s="1"/>
      <c r="P230" s="1"/>
      <c r="Q230" s="1"/>
      <c r="R230" s="420"/>
    </row>
    <row r="231" spans="3:18" s="33" customFormat="1" ht="15" customHeight="1">
      <c r="C231" s="1"/>
      <c r="D231" s="1"/>
      <c r="E231" s="1"/>
      <c r="F231" s="1"/>
      <c r="G231" s="193"/>
      <c r="H231" s="238"/>
      <c r="I231" s="1"/>
      <c r="J231" s="1"/>
      <c r="K231" s="1"/>
      <c r="L231" s="1"/>
      <c r="M231" s="1"/>
      <c r="N231" s="1"/>
      <c r="O231" s="1"/>
      <c r="P231" s="1"/>
      <c r="Q231" s="1"/>
      <c r="R231" s="420"/>
    </row>
    <row r="232" spans="3:18" s="33" customFormat="1" ht="15" customHeight="1">
      <c r="C232" s="1"/>
      <c r="D232" s="1"/>
      <c r="E232" s="1"/>
      <c r="F232" s="1"/>
      <c r="G232" s="193"/>
      <c r="H232" s="238"/>
      <c r="I232" s="1"/>
      <c r="J232" s="1"/>
      <c r="K232" s="1"/>
      <c r="L232" s="1"/>
      <c r="M232" s="1"/>
      <c r="N232" s="1"/>
      <c r="O232" s="1"/>
      <c r="P232" s="1"/>
      <c r="Q232" s="1"/>
      <c r="R232" s="420"/>
    </row>
    <row r="233" spans="3:18" s="33" customFormat="1" ht="15" customHeight="1">
      <c r="C233" s="1"/>
      <c r="D233" s="1"/>
      <c r="E233" s="1"/>
      <c r="F233" s="1"/>
      <c r="G233" s="193"/>
      <c r="H233" s="238"/>
      <c r="I233" s="1"/>
      <c r="J233" s="1"/>
      <c r="K233" s="1"/>
      <c r="L233" s="1"/>
      <c r="M233" s="1"/>
      <c r="N233" s="1"/>
      <c r="O233" s="1"/>
      <c r="P233" s="1"/>
      <c r="Q233" s="1"/>
      <c r="R233" s="420"/>
    </row>
    <row r="234" spans="3:18" s="33" customFormat="1" ht="15" customHeight="1">
      <c r="C234" s="1"/>
      <c r="D234" s="1"/>
      <c r="E234" s="1"/>
      <c r="F234" s="1"/>
      <c r="G234" s="193"/>
      <c r="H234" s="238"/>
      <c r="I234" s="1"/>
      <c r="J234" s="1"/>
      <c r="K234" s="1"/>
      <c r="L234" s="1"/>
      <c r="M234" s="1"/>
      <c r="N234" s="1"/>
      <c r="O234" s="1"/>
      <c r="P234" s="1"/>
      <c r="Q234" s="1"/>
      <c r="R234" s="420"/>
    </row>
    <row r="235" spans="3:18" s="33" customFormat="1" ht="15" customHeight="1">
      <c r="C235" s="1"/>
      <c r="D235" s="1"/>
      <c r="E235" s="1"/>
      <c r="F235" s="1"/>
      <c r="G235" s="193"/>
      <c r="H235" s="238"/>
      <c r="I235" s="1"/>
      <c r="J235" s="1"/>
      <c r="K235" s="1"/>
      <c r="L235" s="1"/>
      <c r="M235" s="1"/>
      <c r="N235" s="1"/>
      <c r="O235" s="1"/>
      <c r="P235" s="1"/>
      <c r="Q235" s="1"/>
      <c r="R235" s="420"/>
    </row>
    <row r="236" spans="3:18" s="33" customFormat="1" ht="15" customHeight="1">
      <c r="C236" s="1"/>
      <c r="D236" s="1"/>
      <c r="E236" s="1"/>
      <c r="F236" s="1"/>
      <c r="G236" s="193"/>
      <c r="H236" s="238"/>
      <c r="I236" s="1"/>
      <c r="J236" s="1"/>
      <c r="K236" s="1"/>
      <c r="L236" s="1"/>
      <c r="M236" s="1"/>
      <c r="N236" s="1"/>
      <c r="O236" s="1"/>
      <c r="P236" s="1"/>
      <c r="Q236" s="1"/>
      <c r="R236" s="420"/>
    </row>
    <row r="237" spans="3:18" s="33" customFormat="1" ht="15" customHeight="1">
      <c r="C237" s="1"/>
      <c r="D237" s="1"/>
      <c r="E237" s="1"/>
      <c r="F237" s="1"/>
      <c r="G237" s="193"/>
      <c r="H237" s="238"/>
      <c r="I237" s="1"/>
      <c r="J237" s="1"/>
      <c r="K237" s="1"/>
      <c r="L237" s="1"/>
      <c r="M237" s="1"/>
      <c r="N237" s="1"/>
      <c r="O237" s="1"/>
      <c r="P237" s="1"/>
      <c r="Q237" s="1"/>
      <c r="R237" s="420"/>
    </row>
    <row r="238" spans="3:18" s="33" customFormat="1" ht="15" customHeight="1">
      <c r="C238" s="1"/>
      <c r="D238" s="1"/>
      <c r="E238" s="1"/>
      <c r="F238" s="1"/>
      <c r="G238" s="193"/>
      <c r="H238" s="238"/>
      <c r="I238" s="1"/>
      <c r="J238" s="1"/>
      <c r="K238" s="1"/>
      <c r="L238" s="1"/>
      <c r="M238" s="1"/>
      <c r="N238" s="1"/>
      <c r="O238" s="1"/>
      <c r="P238" s="1"/>
      <c r="Q238" s="1"/>
      <c r="R238" s="420"/>
    </row>
    <row r="239" spans="3:18" s="33" customFormat="1" ht="15" customHeight="1">
      <c r="C239" s="1"/>
      <c r="D239" s="1"/>
      <c r="E239" s="1"/>
      <c r="F239" s="1"/>
      <c r="G239" s="193"/>
      <c r="H239" s="238"/>
      <c r="I239" s="1"/>
      <c r="J239" s="1"/>
      <c r="K239" s="1"/>
      <c r="L239" s="1"/>
      <c r="M239" s="1"/>
      <c r="N239" s="1"/>
      <c r="O239" s="1"/>
      <c r="P239" s="1"/>
      <c r="Q239" s="1"/>
      <c r="R239" s="420"/>
    </row>
    <row r="240" spans="3:18" s="33" customFormat="1" ht="15" customHeight="1">
      <c r="C240" s="1"/>
      <c r="D240" s="1"/>
      <c r="E240" s="1"/>
      <c r="F240" s="1"/>
      <c r="G240" s="193"/>
      <c r="H240" s="238"/>
      <c r="I240" s="1"/>
      <c r="J240" s="1"/>
      <c r="K240" s="1"/>
      <c r="L240" s="1"/>
      <c r="M240" s="1"/>
      <c r="N240" s="1"/>
      <c r="O240" s="1"/>
      <c r="P240" s="1"/>
      <c r="Q240" s="1"/>
      <c r="R240" s="420"/>
    </row>
    <row r="241" spans="3:18" s="33" customFormat="1" ht="15" customHeight="1">
      <c r="C241" s="1"/>
      <c r="D241" s="1"/>
      <c r="E241" s="1"/>
      <c r="F241" s="1"/>
      <c r="G241" s="193"/>
      <c r="H241" s="238"/>
      <c r="I241" s="1"/>
      <c r="J241" s="1"/>
      <c r="K241" s="1"/>
      <c r="L241" s="1"/>
      <c r="M241" s="1"/>
      <c r="N241" s="1"/>
      <c r="O241" s="1"/>
      <c r="P241" s="1"/>
      <c r="Q241" s="1"/>
      <c r="R241" s="420"/>
    </row>
    <row r="242" spans="3:18" s="33" customFormat="1" ht="15" customHeight="1">
      <c r="C242" s="1"/>
      <c r="D242" s="1"/>
      <c r="E242" s="1"/>
      <c r="F242" s="1"/>
      <c r="G242" s="193"/>
      <c r="H242" s="238"/>
      <c r="I242" s="1"/>
      <c r="J242" s="1"/>
      <c r="K242" s="1"/>
      <c r="L242" s="1"/>
      <c r="M242" s="1"/>
      <c r="N242" s="1"/>
      <c r="O242" s="1"/>
      <c r="P242" s="1"/>
      <c r="Q242" s="1"/>
      <c r="R242" s="420"/>
    </row>
    <row r="243" spans="3:18" s="33" customFormat="1" ht="15" customHeight="1">
      <c r="C243" s="1"/>
      <c r="D243" s="1"/>
      <c r="E243" s="1"/>
      <c r="F243" s="1"/>
      <c r="G243" s="193"/>
      <c r="H243" s="238"/>
      <c r="I243" s="1"/>
      <c r="J243" s="1"/>
      <c r="K243" s="1"/>
      <c r="L243" s="1"/>
      <c r="M243" s="1"/>
      <c r="N243" s="1"/>
      <c r="O243" s="1"/>
      <c r="P243" s="1"/>
      <c r="Q243" s="1"/>
      <c r="R243" s="420"/>
    </row>
    <row r="244" spans="3:18" s="33" customFormat="1" ht="15" customHeight="1">
      <c r="C244" s="1"/>
      <c r="D244" s="1"/>
      <c r="E244" s="1"/>
      <c r="F244" s="1"/>
      <c r="G244" s="193"/>
      <c r="H244" s="238"/>
      <c r="I244" s="1"/>
      <c r="J244" s="1"/>
      <c r="K244" s="1"/>
      <c r="L244" s="1"/>
      <c r="M244" s="1"/>
      <c r="N244" s="1"/>
      <c r="O244" s="1"/>
      <c r="P244" s="1"/>
      <c r="Q244" s="1"/>
      <c r="R244" s="420"/>
    </row>
    <row r="245" spans="3:18" s="33" customFormat="1" ht="15" customHeight="1">
      <c r="C245" s="1"/>
      <c r="D245" s="1"/>
      <c r="E245" s="1"/>
      <c r="F245" s="1"/>
      <c r="G245" s="193"/>
      <c r="H245" s="238"/>
      <c r="I245" s="1"/>
      <c r="J245" s="1"/>
      <c r="K245" s="1"/>
      <c r="L245" s="1"/>
      <c r="M245" s="1"/>
      <c r="N245" s="1"/>
      <c r="O245" s="1"/>
      <c r="P245" s="1"/>
      <c r="Q245" s="1"/>
      <c r="R245" s="420"/>
    </row>
    <row r="246" spans="3:18" s="33" customFormat="1" ht="15" customHeight="1">
      <c r="C246" s="1"/>
      <c r="D246" s="1"/>
      <c r="E246" s="1"/>
      <c r="F246" s="1"/>
      <c r="G246" s="193"/>
      <c r="H246" s="238"/>
      <c r="I246" s="1"/>
      <c r="J246" s="1"/>
      <c r="K246" s="1"/>
      <c r="L246" s="1"/>
      <c r="M246" s="1"/>
      <c r="N246" s="1"/>
      <c r="O246" s="1"/>
      <c r="P246" s="1"/>
      <c r="Q246" s="1"/>
      <c r="R246" s="420"/>
    </row>
    <row r="247" spans="3:18" s="33" customFormat="1" ht="15" customHeight="1">
      <c r="C247" s="1"/>
      <c r="D247" s="1"/>
      <c r="E247" s="1"/>
      <c r="F247" s="1"/>
      <c r="G247" s="193"/>
      <c r="H247" s="238"/>
      <c r="I247" s="1"/>
      <c r="J247" s="1"/>
      <c r="K247" s="1"/>
      <c r="L247" s="1"/>
      <c r="M247" s="1"/>
      <c r="N247" s="1"/>
      <c r="O247" s="1"/>
      <c r="P247" s="1"/>
      <c r="Q247" s="1"/>
      <c r="R247" s="420"/>
    </row>
    <row r="248" spans="3:18" s="33" customFormat="1" ht="15" customHeight="1">
      <c r="C248" s="1"/>
      <c r="D248" s="1"/>
      <c r="E248" s="1"/>
      <c r="F248" s="1"/>
      <c r="G248" s="193"/>
      <c r="H248" s="238"/>
      <c r="I248" s="1"/>
      <c r="J248" s="1"/>
      <c r="K248" s="1"/>
      <c r="L248" s="1"/>
      <c r="M248" s="1"/>
      <c r="N248" s="1"/>
      <c r="O248" s="1"/>
      <c r="P248" s="1"/>
      <c r="Q248" s="1"/>
      <c r="R248" s="420"/>
    </row>
    <row r="249" spans="3:18" s="33" customFormat="1" ht="15" customHeight="1">
      <c r="C249" s="1"/>
      <c r="D249" s="1"/>
      <c r="E249" s="1"/>
      <c r="F249" s="1"/>
      <c r="G249" s="193"/>
      <c r="H249" s="238"/>
      <c r="I249" s="1"/>
      <c r="J249" s="1"/>
      <c r="K249" s="1"/>
      <c r="L249" s="1"/>
      <c r="M249" s="1"/>
      <c r="N249" s="1"/>
      <c r="O249" s="1"/>
      <c r="P249" s="1"/>
      <c r="Q249" s="1"/>
      <c r="R249" s="420"/>
    </row>
    <row r="250" spans="3:18" s="33" customFormat="1" ht="15" customHeight="1">
      <c r="C250" s="1"/>
      <c r="D250" s="1"/>
      <c r="E250" s="1"/>
      <c r="F250" s="1"/>
      <c r="G250" s="193"/>
      <c r="H250" s="238"/>
      <c r="I250" s="1"/>
      <c r="J250" s="1"/>
      <c r="K250" s="1"/>
      <c r="L250" s="1"/>
      <c r="M250" s="1"/>
      <c r="N250" s="1"/>
      <c r="O250" s="1"/>
      <c r="P250" s="1"/>
      <c r="Q250" s="1"/>
      <c r="R250" s="420"/>
    </row>
    <row r="251" spans="3:18" s="33" customFormat="1" ht="15" customHeight="1">
      <c r="C251" s="1"/>
      <c r="D251" s="1"/>
      <c r="E251" s="1"/>
      <c r="F251" s="1"/>
      <c r="G251" s="193"/>
      <c r="H251" s="238"/>
      <c r="I251" s="1"/>
      <c r="J251" s="1"/>
      <c r="K251" s="1"/>
      <c r="L251" s="1"/>
      <c r="M251" s="1"/>
      <c r="N251" s="1"/>
      <c r="O251" s="1"/>
      <c r="P251" s="1"/>
      <c r="Q251" s="1"/>
      <c r="R251" s="420"/>
    </row>
    <row r="252" spans="3:18" s="33" customFormat="1" ht="15" customHeight="1">
      <c r="C252" s="1"/>
      <c r="D252" s="1"/>
      <c r="E252" s="1"/>
      <c r="F252" s="1"/>
      <c r="G252" s="193"/>
      <c r="H252" s="238"/>
      <c r="I252" s="1"/>
      <c r="J252" s="1"/>
      <c r="K252" s="1"/>
      <c r="L252" s="1"/>
      <c r="M252" s="1"/>
      <c r="N252" s="1"/>
      <c r="O252" s="1"/>
      <c r="P252" s="1"/>
      <c r="Q252" s="1"/>
      <c r="R252" s="420"/>
    </row>
    <row r="253" spans="3:18" s="33" customFormat="1" ht="15" customHeight="1">
      <c r="C253" s="1"/>
      <c r="D253" s="1"/>
      <c r="E253" s="1"/>
      <c r="F253" s="1"/>
      <c r="G253" s="193"/>
      <c r="H253" s="238"/>
      <c r="I253" s="1"/>
      <c r="J253" s="1"/>
      <c r="K253" s="1"/>
      <c r="L253" s="1"/>
      <c r="M253" s="1"/>
      <c r="N253" s="1"/>
      <c r="O253" s="1"/>
      <c r="P253" s="1"/>
      <c r="Q253" s="1"/>
      <c r="R253" s="420"/>
    </row>
    <row r="254" spans="3:18" s="33" customFormat="1" ht="15" customHeight="1">
      <c r="C254" s="1"/>
      <c r="D254" s="1"/>
      <c r="E254" s="1"/>
      <c r="F254" s="1"/>
      <c r="G254" s="193"/>
      <c r="H254" s="238"/>
      <c r="I254" s="1"/>
      <c r="J254" s="1"/>
      <c r="K254" s="1"/>
      <c r="L254" s="1"/>
      <c r="M254" s="1"/>
      <c r="N254" s="1"/>
      <c r="O254" s="1"/>
      <c r="P254" s="1"/>
      <c r="Q254" s="1"/>
      <c r="R254" s="420"/>
    </row>
    <row r="255" spans="3:18" s="33" customFormat="1" ht="15" customHeight="1">
      <c r="C255" s="1"/>
      <c r="D255" s="1"/>
      <c r="E255" s="1"/>
      <c r="F255" s="1"/>
      <c r="G255" s="193"/>
      <c r="H255" s="238"/>
      <c r="I255" s="1"/>
      <c r="J255" s="1"/>
      <c r="K255" s="1"/>
      <c r="L255" s="1"/>
      <c r="M255" s="1"/>
      <c r="N255" s="1"/>
      <c r="O255" s="1"/>
      <c r="P255" s="1"/>
      <c r="Q255" s="1"/>
      <c r="R255" s="420"/>
    </row>
    <row r="256" spans="3:18" s="33" customFormat="1" ht="15" customHeight="1">
      <c r="C256" s="1"/>
      <c r="D256" s="1"/>
      <c r="E256" s="1"/>
      <c r="F256" s="1"/>
      <c r="G256" s="193"/>
      <c r="H256" s="238"/>
      <c r="I256" s="1"/>
      <c r="J256" s="1"/>
      <c r="K256" s="1"/>
      <c r="L256" s="1"/>
      <c r="M256" s="1"/>
      <c r="N256" s="1"/>
      <c r="O256" s="1"/>
      <c r="P256" s="1"/>
      <c r="Q256" s="1"/>
      <c r="R256" s="420"/>
    </row>
    <row r="257" spans="3:18" s="33" customFormat="1" ht="15" customHeight="1">
      <c r="C257" s="1"/>
      <c r="D257" s="1"/>
      <c r="E257" s="1"/>
      <c r="F257" s="1"/>
      <c r="G257" s="193"/>
      <c r="H257" s="238"/>
      <c r="I257" s="1"/>
      <c r="J257" s="1"/>
      <c r="K257" s="1"/>
      <c r="L257" s="1"/>
      <c r="M257" s="1"/>
      <c r="N257" s="1"/>
      <c r="O257" s="1"/>
      <c r="P257" s="1"/>
      <c r="Q257" s="1"/>
      <c r="R257" s="420"/>
    </row>
    <row r="258" spans="3:18" s="33" customFormat="1" ht="15" customHeight="1">
      <c r="C258" s="1"/>
      <c r="D258" s="1"/>
      <c r="E258" s="1"/>
      <c r="F258" s="1"/>
      <c r="G258" s="193"/>
      <c r="H258" s="238"/>
      <c r="I258" s="1"/>
      <c r="J258" s="1"/>
      <c r="K258" s="1"/>
      <c r="L258" s="1"/>
      <c r="M258" s="1"/>
      <c r="N258" s="1"/>
      <c r="O258" s="1"/>
      <c r="P258" s="1"/>
      <c r="Q258" s="1"/>
      <c r="R258" s="420"/>
    </row>
    <row r="259" spans="3:18" s="33" customFormat="1" ht="15" customHeight="1">
      <c r="C259" s="1"/>
      <c r="D259" s="1"/>
      <c r="E259" s="1"/>
      <c r="F259" s="1"/>
      <c r="G259" s="193"/>
      <c r="H259" s="238"/>
      <c r="I259" s="1"/>
      <c r="J259" s="1"/>
      <c r="K259" s="1"/>
      <c r="L259" s="1"/>
      <c r="M259" s="1"/>
      <c r="N259" s="1"/>
      <c r="O259" s="1"/>
      <c r="P259" s="1"/>
      <c r="Q259" s="1"/>
      <c r="R259" s="420"/>
    </row>
    <row r="260" spans="3:18" s="33" customFormat="1" ht="15" customHeight="1">
      <c r="C260" s="1"/>
      <c r="D260" s="1"/>
      <c r="E260" s="1"/>
      <c r="F260" s="1"/>
      <c r="G260" s="193"/>
      <c r="H260" s="238"/>
      <c r="I260" s="1"/>
      <c r="J260" s="1"/>
      <c r="K260" s="1"/>
      <c r="L260" s="1"/>
      <c r="M260" s="1"/>
      <c r="N260" s="1"/>
      <c r="O260" s="1"/>
      <c r="P260" s="1"/>
      <c r="Q260" s="1"/>
      <c r="R260" s="418"/>
    </row>
    <row r="261" spans="3:18" s="33" customFormat="1" ht="15" customHeight="1">
      <c r="C261" s="1"/>
      <c r="D261" s="1"/>
      <c r="E261" s="1"/>
      <c r="F261" s="1"/>
      <c r="G261" s="193"/>
      <c r="H261" s="238"/>
      <c r="I261" s="1"/>
      <c r="J261" s="1"/>
      <c r="K261" s="1"/>
      <c r="L261" s="1"/>
      <c r="M261" s="1"/>
      <c r="N261" s="1"/>
      <c r="O261" s="1"/>
      <c r="P261" s="1"/>
      <c r="Q261" s="1"/>
      <c r="R261" s="418"/>
    </row>
    <row r="262" spans="3:18" s="33" customFormat="1" ht="15" customHeight="1">
      <c r="C262" s="1"/>
      <c r="D262" s="1"/>
      <c r="E262" s="1"/>
      <c r="F262" s="1"/>
      <c r="G262" s="193"/>
      <c r="H262" s="238"/>
      <c r="I262" s="1"/>
      <c r="J262" s="1"/>
      <c r="K262" s="1"/>
      <c r="L262" s="1"/>
      <c r="M262" s="1"/>
      <c r="N262" s="1"/>
      <c r="O262" s="1"/>
      <c r="P262" s="1"/>
      <c r="Q262" s="1"/>
      <c r="R262" s="418"/>
    </row>
    <row r="263" spans="3:18" s="33" customFormat="1" ht="15" customHeight="1">
      <c r="C263" s="1"/>
      <c r="D263" s="1"/>
      <c r="E263" s="1"/>
      <c r="F263" s="1"/>
      <c r="G263" s="193"/>
      <c r="H263" s="238"/>
      <c r="I263" s="1"/>
      <c r="J263" s="1"/>
      <c r="K263" s="1"/>
      <c r="L263" s="1"/>
      <c r="M263" s="1"/>
      <c r="N263" s="1"/>
      <c r="O263" s="1"/>
      <c r="P263" s="1"/>
      <c r="Q263" s="1"/>
      <c r="R263" s="421"/>
    </row>
    <row r="264" spans="3:18" s="33" customFormat="1" ht="15" customHeight="1">
      <c r="C264" s="1"/>
      <c r="D264" s="1"/>
      <c r="E264" s="1"/>
      <c r="F264" s="1"/>
      <c r="G264" s="193"/>
      <c r="H264" s="238"/>
      <c r="I264" s="1"/>
      <c r="J264" s="1"/>
      <c r="K264" s="1"/>
      <c r="L264" s="1"/>
      <c r="M264" s="1"/>
      <c r="N264" s="1"/>
      <c r="O264" s="1"/>
      <c r="P264" s="1"/>
      <c r="Q264" s="1"/>
      <c r="R264" s="418"/>
    </row>
    <row r="265" spans="3:18" s="33" customFormat="1" ht="15" customHeight="1">
      <c r="C265" s="1"/>
      <c r="D265" s="1"/>
      <c r="E265" s="1"/>
      <c r="F265" s="1"/>
      <c r="G265" s="193"/>
      <c r="H265" s="238"/>
      <c r="I265" s="1"/>
      <c r="J265" s="1"/>
      <c r="K265" s="1"/>
      <c r="L265" s="1"/>
      <c r="M265" s="1"/>
      <c r="N265" s="1"/>
      <c r="O265" s="1"/>
      <c r="P265" s="1"/>
      <c r="Q265" s="1"/>
      <c r="R265" s="418"/>
    </row>
    <row r="266" spans="3:18" s="33" customFormat="1" ht="15" customHeight="1">
      <c r="C266" s="1"/>
      <c r="D266" s="1"/>
      <c r="E266" s="1"/>
      <c r="F266" s="1"/>
      <c r="G266" s="193"/>
      <c r="H266" s="238"/>
      <c r="I266" s="1"/>
      <c r="J266" s="1"/>
      <c r="K266" s="1"/>
      <c r="L266" s="1"/>
      <c r="M266" s="1"/>
      <c r="N266" s="1"/>
      <c r="O266" s="1"/>
      <c r="P266" s="1"/>
      <c r="Q266" s="1"/>
      <c r="R266" s="418"/>
    </row>
    <row r="267" spans="3:18" s="33" customFormat="1" ht="15" customHeight="1">
      <c r="C267" s="1"/>
      <c r="D267" s="1"/>
      <c r="E267" s="1"/>
      <c r="F267" s="1"/>
      <c r="G267" s="193"/>
      <c r="H267" s="238"/>
      <c r="I267" s="1"/>
      <c r="J267" s="1"/>
      <c r="K267" s="1"/>
      <c r="L267" s="1"/>
      <c r="M267" s="1"/>
      <c r="N267" s="1"/>
      <c r="O267" s="1"/>
      <c r="P267" s="1"/>
      <c r="Q267" s="1"/>
      <c r="R267" s="418"/>
    </row>
    <row r="268" spans="3:18" s="33" customFormat="1" ht="15" customHeight="1">
      <c r="C268" s="1"/>
      <c r="D268" s="1"/>
      <c r="E268" s="1"/>
      <c r="F268" s="1"/>
      <c r="G268" s="193"/>
      <c r="H268" s="238"/>
      <c r="I268" s="1"/>
      <c r="J268" s="1"/>
      <c r="K268" s="1"/>
      <c r="L268" s="1"/>
      <c r="M268" s="1"/>
      <c r="N268" s="1"/>
      <c r="O268" s="1"/>
      <c r="P268" s="1"/>
      <c r="Q268" s="1"/>
      <c r="R268" s="418"/>
    </row>
    <row r="269" spans="3:18" s="33" customFormat="1" ht="15" customHeight="1">
      <c r="C269" s="1"/>
      <c r="D269" s="1"/>
      <c r="E269" s="1"/>
      <c r="F269" s="1"/>
      <c r="G269" s="193"/>
      <c r="H269" s="238"/>
      <c r="I269" s="1"/>
      <c r="J269" s="1"/>
      <c r="K269" s="1"/>
      <c r="L269" s="1"/>
      <c r="M269" s="1"/>
      <c r="N269" s="1"/>
      <c r="O269" s="1"/>
      <c r="P269" s="1"/>
      <c r="Q269" s="1"/>
      <c r="R269" s="418"/>
    </row>
    <row r="270" spans="3:18" s="33" customFormat="1" ht="15" customHeight="1">
      <c r="C270" s="1"/>
      <c r="D270" s="1"/>
      <c r="E270" s="1"/>
      <c r="F270" s="1"/>
      <c r="G270" s="193"/>
      <c r="H270" s="238"/>
      <c r="I270" s="1"/>
      <c r="J270" s="1"/>
      <c r="K270" s="1"/>
      <c r="L270" s="1"/>
      <c r="M270" s="1"/>
      <c r="N270" s="1"/>
      <c r="O270" s="1"/>
      <c r="P270" s="1"/>
      <c r="Q270" s="1"/>
      <c r="R270" s="418"/>
    </row>
    <row r="271" spans="3:18" s="7" customFormat="1" ht="16">
      <c r="C271" s="1"/>
      <c r="D271" s="1"/>
      <c r="E271" s="1"/>
      <c r="F271" s="1"/>
      <c r="G271" s="193"/>
      <c r="H271" s="238"/>
      <c r="I271" s="1"/>
      <c r="J271" s="1"/>
      <c r="K271" s="1"/>
      <c r="L271" s="1"/>
      <c r="M271" s="1"/>
      <c r="N271" s="1"/>
      <c r="O271" s="1"/>
      <c r="P271" s="1"/>
      <c r="Q271" s="1"/>
      <c r="R271" s="420"/>
    </row>
    <row r="272" spans="3:18" s="7" customFormat="1">
      <c r="C272" s="1"/>
      <c r="D272" s="1"/>
      <c r="E272" s="1"/>
      <c r="F272" s="1"/>
      <c r="G272" s="193"/>
      <c r="H272" s="238"/>
      <c r="I272" s="1"/>
      <c r="J272" s="1"/>
      <c r="K272" s="1"/>
      <c r="L272" s="1"/>
      <c r="M272" s="1"/>
      <c r="N272" s="1"/>
      <c r="O272" s="1"/>
      <c r="P272" s="1"/>
      <c r="Q272" s="1"/>
      <c r="R272" s="418"/>
    </row>
    <row r="273" spans="3:18" s="7" customFormat="1">
      <c r="C273" s="1"/>
      <c r="D273" s="1"/>
      <c r="E273" s="1"/>
      <c r="F273" s="1"/>
      <c r="G273" s="193"/>
      <c r="H273" s="238"/>
      <c r="I273" s="1"/>
      <c r="J273" s="1"/>
      <c r="K273" s="1"/>
      <c r="L273" s="1"/>
      <c r="M273" s="1"/>
      <c r="N273" s="1"/>
      <c r="O273" s="1"/>
      <c r="P273" s="1"/>
      <c r="Q273" s="1"/>
      <c r="R273" s="418"/>
    </row>
    <row r="274" spans="3:18" s="7" customFormat="1" ht="13.5" customHeight="1">
      <c r="C274" s="1"/>
      <c r="D274" s="1"/>
      <c r="E274" s="1"/>
      <c r="F274" s="1"/>
      <c r="G274" s="193"/>
      <c r="H274" s="238"/>
      <c r="I274" s="1"/>
      <c r="J274" s="1"/>
      <c r="K274" s="1"/>
      <c r="L274" s="1"/>
      <c r="M274" s="1"/>
      <c r="N274" s="1"/>
      <c r="O274" s="1"/>
      <c r="P274" s="1"/>
      <c r="Q274" s="1"/>
      <c r="R274" s="418"/>
    </row>
    <row r="275" spans="3:18" s="7" customFormat="1">
      <c r="C275" s="1"/>
      <c r="D275" s="1"/>
      <c r="E275" s="1"/>
      <c r="F275" s="1"/>
      <c r="G275" s="193"/>
      <c r="H275" s="238"/>
      <c r="I275" s="1"/>
      <c r="J275" s="1"/>
      <c r="K275" s="1"/>
      <c r="L275" s="1"/>
      <c r="M275" s="1"/>
      <c r="N275" s="1"/>
      <c r="O275" s="1"/>
      <c r="P275" s="1"/>
      <c r="Q275" s="1"/>
      <c r="R275" s="425"/>
    </row>
    <row r="276" spans="3:18" s="7" customFormat="1">
      <c r="C276" s="1"/>
      <c r="D276" s="1"/>
      <c r="E276" s="1"/>
      <c r="F276" s="1"/>
      <c r="G276" s="193"/>
      <c r="H276" s="238"/>
      <c r="I276" s="1"/>
      <c r="J276" s="1"/>
      <c r="K276" s="1"/>
      <c r="L276" s="1"/>
      <c r="M276" s="1"/>
      <c r="N276" s="1"/>
      <c r="O276" s="1"/>
      <c r="P276" s="1"/>
      <c r="Q276" s="1"/>
      <c r="R276" s="425"/>
    </row>
    <row r="277" spans="3:18" s="7" customFormat="1">
      <c r="C277" s="1"/>
      <c r="D277" s="1"/>
      <c r="E277" s="1"/>
      <c r="F277" s="1"/>
      <c r="G277" s="193"/>
      <c r="H277" s="238"/>
      <c r="I277" s="1"/>
      <c r="J277" s="1"/>
      <c r="K277" s="1"/>
      <c r="L277" s="1"/>
      <c r="M277" s="1"/>
      <c r="N277" s="1"/>
      <c r="O277" s="1"/>
      <c r="P277" s="1"/>
      <c r="Q277" s="1"/>
      <c r="R277" s="425"/>
    </row>
    <row r="278" spans="3:18" s="7" customFormat="1">
      <c r="C278" s="1"/>
      <c r="D278" s="1"/>
      <c r="E278" s="1"/>
      <c r="F278" s="1"/>
      <c r="G278" s="193"/>
      <c r="H278" s="238"/>
      <c r="I278" s="1"/>
      <c r="J278" s="1"/>
      <c r="K278" s="1"/>
      <c r="L278" s="1"/>
      <c r="M278" s="1"/>
      <c r="N278" s="1"/>
      <c r="O278" s="1"/>
      <c r="P278" s="1"/>
      <c r="Q278" s="1"/>
      <c r="R278" s="425"/>
    </row>
    <row r="279" spans="3:18" s="7" customFormat="1">
      <c r="C279" s="1"/>
      <c r="D279" s="1"/>
      <c r="E279" s="1"/>
      <c r="F279" s="1"/>
      <c r="G279" s="193"/>
      <c r="H279" s="238"/>
      <c r="I279" s="1"/>
      <c r="J279" s="1"/>
      <c r="K279" s="1"/>
      <c r="L279" s="1"/>
      <c r="M279" s="1"/>
      <c r="N279" s="1"/>
      <c r="O279" s="1"/>
      <c r="P279" s="1"/>
      <c r="Q279" s="1"/>
      <c r="R279" s="425"/>
    </row>
    <row r="280" spans="3:18" s="7" customFormat="1">
      <c r="C280" s="1"/>
      <c r="D280" s="1"/>
      <c r="E280" s="1"/>
      <c r="F280" s="1"/>
      <c r="G280" s="193"/>
      <c r="H280" s="238"/>
      <c r="I280" s="1"/>
      <c r="J280" s="1"/>
      <c r="K280" s="1"/>
      <c r="L280" s="1"/>
      <c r="M280" s="1"/>
      <c r="N280" s="1"/>
      <c r="O280" s="1"/>
      <c r="P280" s="1"/>
      <c r="Q280" s="1"/>
      <c r="R280" s="425"/>
    </row>
    <row r="281" spans="3:18" s="7" customFormat="1">
      <c r="C281" s="1"/>
      <c r="D281" s="1"/>
      <c r="E281" s="1"/>
      <c r="F281" s="1"/>
      <c r="G281" s="193"/>
      <c r="H281" s="238"/>
      <c r="I281" s="1"/>
      <c r="J281" s="1"/>
      <c r="K281" s="1"/>
      <c r="L281" s="1"/>
      <c r="M281" s="1"/>
      <c r="N281" s="1"/>
      <c r="O281" s="1"/>
      <c r="P281" s="1"/>
      <c r="Q281" s="1"/>
      <c r="R281" s="425"/>
    </row>
    <row r="282" spans="3:18" s="7" customFormat="1">
      <c r="C282" s="1"/>
      <c r="D282" s="1"/>
      <c r="E282" s="1"/>
      <c r="F282" s="1"/>
      <c r="G282" s="193"/>
      <c r="H282" s="238"/>
      <c r="I282" s="1"/>
      <c r="J282" s="1"/>
      <c r="K282" s="1"/>
      <c r="L282" s="1"/>
      <c r="M282" s="1"/>
      <c r="N282" s="1"/>
      <c r="O282" s="1"/>
      <c r="P282" s="1"/>
      <c r="Q282" s="1"/>
      <c r="R282" s="425"/>
    </row>
    <row r="283" spans="3:18" s="7" customFormat="1">
      <c r="C283" s="1"/>
      <c r="D283" s="1"/>
      <c r="E283" s="1"/>
      <c r="F283" s="1"/>
      <c r="G283" s="193"/>
      <c r="H283" s="238"/>
      <c r="I283" s="1"/>
      <c r="J283" s="1"/>
      <c r="K283" s="1"/>
      <c r="L283" s="1"/>
      <c r="M283" s="1"/>
      <c r="N283" s="1"/>
      <c r="O283" s="1"/>
      <c r="P283" s="1"/>
      <c r="Q283" s="1"/>
      <c r="R283" s="425"/>
    </row>
    <row r="284" spans="3:18" s="7" customFormat="1">
      <c r="C284" s="1"/>
      <c r="D284" s="1"/>
      <c r="E284" s="1"/>
      <c r="F284" s="1"/>
      <c r="G284" s="193"/>
      <c r="H284" s="238"/>
      <c r="I284" s="1"/>
      <c r="J284" s="1"/>
      <c r="K284" s="1"/>
      <c r="L284" s="1"/>
      <c r="M284" s="1"/>
      <c r="N284" s="1"/>
      <c r="O284" s="1"/>
      <c r="P284" s="1"/>
      <c r="Q284" s="1"/>
      <c r="R284" s="425"/>
    </row>
    <row r="285" spans="3:18" s="7" customFormat="1">
      <c r="C285" s="1"/>
      <c r="D285" s="1"/>
      <c r="E285" s="1"/>
      <c r="F285" s="1"/>
      <c r="G285" s="193"/>
      <c r="H285" s="238"/>
      <c r="I285" s="1"/>
      <c r="J285" s="1"/>
      <c r="K285" s="1"/>
      <c r="L285" s="1"/>
      <c r="M285" s="1"/>
      <c r="N285" s="1"/>
      <c r="O285" s="1"/>
      <c r="P285" s="1"/>
      <c r="Q285" s="1"/>
      <c r="R285" s="425"/>
    </row>
    <row r="286" spans="3:18" s="34" customFormat="1" ht="12" customHeight="1">
      <c r="C286" s="1"/>
      <c r="D286" s="1"/>
      <c r="E286" s="1"/>
      <c r="F286" s="1"/>
      <c r="G286" s="193"/>
      <c r="H286" s="238"/>
      <c r="I286" s="1"/>
      <c r="J286" s="1"/>
      <c r="K286" s="1"/>
      <c r="L286" s="1"/>
      <c r="M286" s="1"/>
      <c r="N286" s="1"/>
      <c r="O286" s="1"/>
      <c r="P286" s="1"/>
      <c r="Q286" s="1"/>
      <c r="R286" s="425"/>
    </row>
    <row r="287" spans="3:18" s="34" customFormat="1" ht="14" customHeight="1">
      <c r="C287" s="1"/>
      <c r="D287" s="1"/>
      <c r="E287" s="1"/>
      <c r="F287" s="1"/>
      <c r="G287" s="193"/>
      <c r="H287" s="238"/>
      <c r="I287" s="1"/>
      <c r="J287" s="1"/>
      <c r="K287" s="1"/>
      <c r="L287" s="1"/>
      <c r="M287" s="1"/>
      <c r="N287" s="1"/>
      <c r="O287" s="1"/>
      <c r="P287" s="1"/>
      <c r="Q287" s="1"/>
      <c r="R287" s="425"/>
    </row>
    <row r="288" spans="3:18" s="34" customFormat="1" ht="13.25" customHeight="1">
      <c r="C288" s="1"/>
      <c r="D288" s="1"/>
      <c r="E288" s="1"/>
      <c r="F288" s="1"/>
      <c r="G288" s="193"/>
      <c r="H288" s="238"/>
      <c r="I288" s="1"/>
      <c r="J288" s="1"/>
      <c r="K288" s="1"/>
      <c r="L288" s="1"/>
      <c r="M288" s="1"/>
      <c r="N288" s="1"/>
      <c r="O288" s="1"/>
      <c r="P288" s="1"/>
      <c r="Q288" s="1"/>
      <c r="R288" s="425"/>
    </row>
    <row r="289" spans="3:18" s="34" customFormat="1" ht="13.25" customHeight="1">
      <c r="C289" s="1"/>
      <c r="D289" s="1"/>
      <c r="E289" s="1"/>
      <c r="F289" s="1"/>
      <c r="G289" s="193"/>
      <c r="H289" s="238"/>
      <c r="I289" s="1"/>
      <c r="J289" s="1"/>
      <c r="K289" s="1"/>
      <c r="L289" s="1"/>
      <c r="M289" s="1"/>
      <c r="N289" s="1"/>
      <c r="O289" s="1"/>
      <c r="P289" s="1"/>
      <c r="Q289" s="1"/>
      <c r="R289" s="425"/>
    </row>
    <row r="290" spans="3:18" s="34" customFormat="1" ht="13.25" customHeight="1">
      <c r="C290" s="1"/>
      <c r="D290" s="1"/>
      <c r="E290" s="1"/>
      <c r="F290" s="1"/>
      <c r="G290" s="193"/>
      <c r="H290" s="238"/>
      <c r="I290" s="1"/>
      <c r="J290" s="1"/>
      <c r="K290" s="1"/>
      <c r="L290" s="1"/>
      <c r="M290" s="1"/>
      <c r="N290" s="1"/>
      <c r="O290" s="1"/>
      <c r="P290" s="1"/>
      <c r="Q290" s="1"/>
      <c r="R290" s="425"/>
    </row>
    <row r="291" spans="3:18" s="34" customFormat="1" ht="13.25" customHeight="1">
      <c r="C291" s="1"/>
      <c r="D291" s="1"/>
      <c r="E291" s="1"/>
      <c r="F291" s="1"/>
      <c r="G291" s="193"/>
      <c r="H291" s="238"/>
      <c r="I291" s="1"/>
      <c r="J291" s="1"/>
      <c r="K291" s="1"/>
      <c r="L291" s="1"/>
      <c r="M291" s="1"/>
      <c r="N291" s="1"/>
      <c r="O291" s="1"/>
      <c r="P291" s="1"/>
      <c r="Q291" s="1"/>
      <c r="R291" s="425"/>
    </row>
    <row r="292" spans="3:18" s="34" customFormat="1" ht="13.25" customHeight="1">
      <c r="C292" s="1"/>
      <c r="D292" s="1"/>
      <c r="E292" s="1"/>
      <c r="F292" s="1"/>
      <c r="G292" s="193"/>
      <c r="H292" s="238"/>
      <c r="I292" s="1"/>
      <c r="J292" s="1"/>
      <c r="K292" s="1"/>
      <c r="L292" s="1"/>
      <c r="M292" s="1"/>
      <c r="N292" s="1"/>
      <c r="O292" s="1"/>
      <c r="P292" s="1"/>
      <c r="Q292" s="1"/>
      <c r="R292" s="425"/>
    </row>
    <row r="293" spans="3:18" s="34" customFormat="1" ht="13.25" customHeight="1">
      <c r="C293" s="1"/>
      <c r="D293" s="1"/>
      <c r="E293" s="1"/>
      <c r="F293" s="1"/>
      <c r="G293" s="193"/>
      <c r="H293" s="238"/>
      <c r="I293" s="1"/>
      <c r="J293" s="1"/>
      <c r="K293" s="1"/>
      <c r="L293" s="1"/>
      <c r="M293" s="1"/>
      <c r="N293" s="1"/>
      <c r="O293" s="1"/>
      <c r="P293" s="1"/>
      <c r="Q293" s="1"/>
      <c r="R293" s="425"/>
    </row>
    <row r="294" spans="3:18" s="34" customFormat="1" ht="13.25" customHeight="1">
      <c r="C294" s="1"/>
      <c r="D294" s="1"/>
      <c r="E294" s="1"/>
      <c r="F294" s="1"/>
      <c r="G294" s="193"/>
      <c r="H294" s="238"/>
      <c r="I294" s="1"/>
      <c r="J294" s="1"/>
      <c r="K294" s="1"/>
      <c r="L294" s="1"/>
      <c r="M294" s="1"/>
      <c r="N294" s="1"/>
      <c r="O294" s="1"/>
      <c r="P294" s="1"/>
      <c r="Q294" s="1"/>
      <c r="R294" s="425"/>
    </row>
    <row r="295" spans="3:18" s="34" customFormat="1" ht="13.25" customHeight="1">
      <c r="C295" s="1"/>
      <c r="D295" s="1"/>
      <c r="E295" s="1"/>
      <c r="F295" s="1"/>
      <c r="G295" s="193"/>
      <c r="H295" s="238"/>
      <c r="I295" s="1"/>
      <c r="J295" s="1"/>
      <c r="K295" s="1"/>
      <c r="L295" s="1"/>
      <c r="M295" s="1"/>
      <c r="N295" s="1"/>
      <c r="O295" s="1"/>
      <c r="P295" s="1"/>
      <c r="Q295" s="1"/>
      <c r="R295" s="425"/>
    </row>
    <row r="296" spans="3:18" s="34" customFormat="1" ht="13.25" customHeight="1">
      <c r="C296" s="1"/>
      <c r="D296" s="1"/>
      <c r="E296" s="1"/>
      <c r="F296" s="1"/>
      <c r="G296" s="193"/>
      <c r="H296" s="238"/>
      <c r="I296" s="1"/>
      <c r="J296" s="1"/>
      <c r="K296" s="1"/>
      <c r="L296" s="1"/>
      <c r="M296" s="1"/>
      <c r="N296" s="1"/>
      <c r="O296" s="1"/>
      <c r="P296" s="1"/>
      <c r="Q296" s="1"/>
      <c r="R296" s="425"/>
    </row>
    <row r="297" spans="3:18" s="34" customFormat="1" ht="13.25" customHeight="1">
      <c r="C297" s="1"/>
      <c r="D297" s="1"/>
      <c r="E297" s="1"/>
      <c r="F297" s="1"/>
      <c r="G297" s="193"/>
      <c r="H297" s="238"/>
      <c r="I297" s="1"/>
      <c r="J297" s="1"/>
      <c r="K297" s="1"/>
      <c r="L297" s="1"/>
      <c r="M297" s="1"/>
      <c r="N297" s="1"/>
      <c r="O297" s="1"/>
      <c r="P297" s="1"/>
      <c r="Q297" s="1"/>
      <c r="R297" s="425"/>
    </row>
    <row r="298" spans="3:18" s="34" customFormat="1" ht="13.25" customHeight="1">
      <c r="C298" s="1"/>
      <c r="D298" s="1"/>
      <c r="E298" s="1"/>
      <c r="F298" s="1"/>
      <c r="G298" s="193"/>
      <c r="H298" s="238"/>
      <c r="I298" s="1"/>
      <c r="J298" s="1"/>
      <c r="K298" s="1"/>
      <c r="L298" s="1"/>
      <c r="M298" s="1"/>
      <c r="N298" s="1"/>
      <c r="O298" s="1"/>
      <c r="P298" s="1"/>
      <c r="Q298" s="1"/>
      <c r="R298" s="425"/>
    </row>
    <row r="299" spans="3:18" s="34" customFormat="1" ht="13.25" customHeight="1">
      <c r="C299" s="1"/>
      <c r="D299" s="1"/>
      <c r="E299" s="1"/>
      <c r="F299" s="1"/>
      <c r="G299" s="193"/>
      <c r="H299" s="238"/>
      <c r="I299" s="1"/>
      <c r="J299" s="1"/>
      <c r="K299" s="1"/>
      <c r="L299" s="1"/>
      <c r="M299" s="1"/>
      <c r="N299" s="1"/>
      <c r="O299" s="1"/>
      <c r="P299" s="1"/>
      <c r="Q299" s="1"/>
      <c r="R299" s="425"/>
    </row>
    <row r="300" spans="3:18" s="34" customFormat="1" ht="13.25" customHeight="1">
      <c r="C300" s="1"/>
      <c r="D300" s="1"/>
      <c r="E300" s="1"/>
      <c r="F300" s="1"/>
      <c r="G300" s="193"/>
      <c r="H300" s="238"/>
      <c r="I300" s="1"/>
      <c r="J300" s="1"/>
      <c r="K300" s="1"/>
      <c r="L300" s="1"/>
      <c r="M300" s="1"/>
      <c r="N300" s="1"/>
      <c r="O300" s="1"/>
      <c r="P300" s="1"/>
      <c r="Q300" s="1"/>
      <c r="R300" s="425"/>
    </row>
    <row r="301" spans="3:18" s="34" customFormat="1" ht="13.25" customHeight="1">
      <c r="C301" s="1"/>
      <c r="D301" s="1"/>
      <c r="E301" s="1"/>
      <c r="F301" s="1"/>
      <c r="G301" s="193"/>
      <c r="H301" s="238"/>
      <c r="I301" s="1"/>
      <c r="J301" s="1"/>
      <c r="K301" s="1"/>
      <c r="L301" s="1"/>
      <c r="M301" s="1"/>
      <c r="N301" s="1"/>
      <c r="O301" s="1"/>
      <c r="P301" s="1"/>
      <c r="Q301" s="1"/>
      <c r="R301" s="425"/>
    </row>
    <row r="302" spans="3:18" s="34" customFormat="1" ht="13.25" customHeight="1">
      <c r="C302" s="1"/>
      <c r="D302" s="1"/>
      <c r="E302" s="1"/>
      <c r="F302" s="1"/>
      <c r="G302" s="193"/>
      <c r="H302" s="238"/>
      <c r="I302" s="1"/>
      <c r="J302" s="1"/>
      <c r="K302" s="1"/>
      <c r="L302" s="1"/>
      <c r="M302" s="1"/>
      <c r="N302" s="1"/>
      <c r="O302" s="1"/>
      <c r="P302" s="1"/>
      <c r="Q302" s="1"/>
      <c r="R302" s="425"/>
    </row>
    <row r="303" spans="3:18" s="34" customFormat="1" ht="13.25" customHeight="1">
      <c r="C303" s="1"/>
      <c r="D303" s="1"/>
      <c r="E303" s="1"/>
      <c r="F303" s="1"/>
      <c r="G303" s="193"/>
      <c r="H303" s="238"/>
      <c r="I303" s="1"/>
      <c r="J303" s="1"/>
      <c r="K303" s="1"/>
      <c r="L303" s="1"/>
      <c r="M303" s="1"/>
      <c r="N303" s="1"/>
      <c r="O303" s="1"/>
      <c r="P303" s="1"/>
      <c r="Q303" s="1"/>
      <c r="R303" s="425"/>
    </row>
    <row r="304" spans="3:18" s="34" customFormat="1" ht="13.25" customHeight="1">
      <c r="C304" s="1"/>
      <c r="D304" s="1"/>
      <c r="E304" s="1"/>
      <c r="F304" s="1"/>
      <c r="G304" s="193"/>
      <c r="H304" s="238"/>
      <c r="I304" s="1"/>
      <c r="J304" s="1"/>
      <c r="K304" s="1"/>
      <c r="L304" s="1"/>
      <c r="M304" s="1"/>
      <c r="N304" s="1"/>
      <c r="O304" s="1"/>
      <c r="P304" s="1"/>
      <c r="Q304" s="1"/>
      <c r="R304" s="425"/>
    </row>
    <row r="305" spans="3:18" s="34" customFormat="1" ht="13.25" customHeight="1">
      <c r="C305" s="1"/>
      <c r="D305" s="1"/>
      <c r="E305" s="1"/>
      <c r="F305" s="1"/>
      <c r="G305" s="193"/>
      <c r="H305" s="238"/>
      <c r="I305" s="1"/>
      <c r="J305" s="1"/>
      <c r="K305" s="1"/>
      <c r="L305" s="1"/>
      <c r="M305" s="1"/>
      <c r="N305" s="1"/>
      <c r="O305" s="1"/>
      <c r="P305" s="1"/>
      <c r="Q305" s="1"/>
      <c r="R305" s="425"/>
    </row>
    <row r="306" spans="3:18" s="34" customFormat="1" ht="13.25" customHeight="1">
      <c r="C306" s="1"/>
      <c r="D306" s="1"/>
      <c r="E306" s="1"/>
      <c r="F306" s="1"/>
      <c r="G306" s="193"/>
      <c r="H306" s="238"/>
      <c r="I306" s="1"/>
      <c r="J306" s="1"/>
      <c r="K306" s="1"/>
      <c r="L306" s="1"/>
      <c r="M306" s="1"/>
      <c r="N306" s="1"/>
      <c r="O306" s="1"/>
      <c r="P306" s="1"/>
      <c r="Q306" s="1"/>
      <c r="R306" s="425"/>
    </row>
    <row r="307" spans="3:18" s="34" customFormat="1" ht="13.25" customHeight="1">
      <c r="C307" s="1"/>
      <c r="D307" s="1"/>
      <c r="E307" s="1"/>
      <c r="F307" s="1"/>
      <c r="G307" s="193"/>
      <c r="H307" s="238"/>
      <c r="I307" s="1"/>
      <c r="J307" s="1"/>
      <c r="K307" s="1"/>
      <c r="L307" s="1"/>
      <c r="M307" s="1"/>
      <c r="N307" s="1"/>
      <c r="O307" s="1"/>
      <c r="P307" s="1"/>
      <c r="Q307" s="1"/>
      <c r="R307" s="425"/>
    </row>
    <row r="308" spans="3:18" s="34" customFormat="1" ht="13.25" customHeight="1">
      <c r="C308" s="1"/>
      <c r="D308" s="1"/>
      <c r="E308" s="1"/>
      <c r="F308" s="1"/>
      <c r="G308" s="193"/>
      <c r="H308" s="238"/>
      <c r="I308" s="1"/>
      <c r="J308" s="1"/>
      <c r="K308" s="1"/>
      <c r="L308" s="1"/>
      <c r="M308" s="1"/>
      <c r="N308" s="1"/>
      <c r="O308" s="1"/>
      <c r="P308" s="1"/>
      <c r="Q308" s="1"/>
      <c r="R308" s="425"/>
    </row>
    <row r="309" spans="3:18" s="34" customFormat="1" ht="13.25" customHeight="1">
      <c r="C309" s="1"/>
      <c r="D309" s="1"/>
      <c r="E309" s="1"/>
      <c r="F309" s="1"/>
      <c r="G309" s="193"/>
      <c r="H309" s="238"/>
      <c r="I309" s="1"/>
      <c r="J309" s="1"/>
      <c r="K309" s="1"/>
      <c r="L309" s="1"/>
      <c r="M309" s="1"/>
      <c r="N309" s="1"/>
      <c r="O309" s="1"/>
      <c r="P309" s="1"/>
      <c r="Q309" s="1"/>
      <c r="R309" s="425"/>
    </row>
    <row r="310" spans="3:18" s="34" customFormat="1" ht="13.25" customHeight="1">
      <c r="C310" s="1"/>
      <c r="D310" s="1"/>
      <c r="E310" s="1"/>
      <c r="F310" s="1"/>
      <c r="G310" s="193"/>
      <c r="H310" s="238"/>
      <c r="I310" s="1"/>
      <c r="J310" s="1"/>
      <c r="K310" s="1"/>
      <c r="L310" s="1"/>
      <c r="M310" s="1"/>
      <c r="N310" s="1"/>
      <c r="O310" s="1"/>
      <c r="P310" s="1"/>
      <c r="Q310" s="1"/>
      <c r="R310" s="425"/>
    </row>
    <row r="311" spans="3:18" s="34" customFormat="1" ht="13.25" customHeight="1">
      <c r="C311" s="1"/>
      <c r="D311" s="1"/>
      <c r="E311" s="1"/>
      <c r="F311" s="1"/>
      <c r="G311" s="193"/>
      <c r="H311" s="238"/>
      <c r="I311" s="1"/>
      <c r="J311" s="1"/>
      <c r="K311" s="1"/>
      <c r="L311" s="1"/>
      <c r="M311" s="1"/>
      <c r="N311" s="1"/>
      <c r="O311" s="1"/>
      <c r="P311" s="1"/>
      <c r="Q311" s="1"/>
      <c r="R311" s="425"/>
    </row>
    <row r="312" spans="3:18" s="34" customFormat="1" ht="13.25" customHeight="1">
      <c r="C312" s="1"/>
      <c r="D312" s="1"/>
      <c r="E312" s="1"/>
      <c r="F312" s="1"/>
      <c r="G312" s="193"/>
      <c r="H312" s="238"/>
      <c r="I312" s="1"/>
      <c r="J312" s="1"/>
      <c r="K312" s="1"/>
      <c r="L312" s="1"/>
      <c r="M312" s="1"/>
      <c r="N312" s="1"/>
      <c r="O312" s="1"/>
      <c r="P312" s="1"/>
      <c r="Q312" s="1"/>
      <c r="R312" s="425"/>
    </row>
    <row r="313" spans="3:18" s="34" customFormat="1" ht="13.25" customHeight="1">
      <c r="C313" s="1"/>
      <c r="D313" s="1"/>
      <c r="E313" s="1"/>
      <c r="F313" s="1"/>
      <c r="G313" s="193"/>
      <c r="H313" s="238"/>
      <c r="I313" s="1"/>
      <c r="J313" s="1"/>
      <c r="K313" s="1"/>
      <c r="L313" s="1"/>
      <c r="M313" s="1"/>
      <c r="N313" s="1"/>
      <c r="O313" s="1"/>
      <c r="P313" s="1"/>
      <c r="Q313" s="1"/>
      <c r="R313" s="425"/>
    </row>
    <row r="314" spans="3:18" s="34" customFormat="1" ht="13.25" customHeight="1">
      <c r="C314" s="1"/>
      <c r="D314" s="1"/>
      <c r="E314" s="1"/>
      <c r="F314" s="1"/>
      <c r="G314" s="193"/>
      <c r="H314" s="238"/>
      <c r="I314" s="1"/>
      <c r="J314" s="1"/>
      <c r="K314" s="1"/>
      <c r="L314" s="1"/>
      <c r="M314" s="1"/>
      <c r="N314" s="1"/>
      <c r="O314" s="1"/>
      <c r="P314" s="1"/>
      <c r="Q314" s="1"/>
      <c r="R314" s="425"/>
    </row>
    <row r="315" spans="3:18" s="34" customFormat="1" ht="13.25" customHeight="1">
      <c r="C315" s="1"/>
      <c r="D315" s="1"/>
      <c r="E315" s="1"/>
      <c r="F315" s="1"/>
      <c r="G315" s="193"/>
      <c r="H315" s="238"/>
      <c r="I315" s="1"/>
      <c r="J315" s="1"/>
      <c r="K315" s="1"/>
      <c r="L315" s="1"/>
      <c r="M315" s="1"/>
      <c r="N315" s="1"/>
      <c r="O315" s="1"/>
      <c r="P315" s="1"/>
      <c r="Q315" s="1"/>
      <c r="R315" s="425"/>
    </row>
    <row r="316" spans="3:18" s="34" customFormat="1" ht="13.25" customHeight="1">
      <c r="C316" s="1"/>
      <c r="D316" s="1"/>
      <c r="E316" s="1"/>
      <c r="F316" s="1"/>
      <c r="G316" s="193"/>
      <c r="H316" s="238"/>
      <c r="I316" s="1"/>
      <c r="J316" s="1"/>
      <c r="K316" s="1"/>
      <c r="L316" s="1"/>
      <c r="M316" s="1"/>
      <c r="N316" s="1"/>
      <c r="O316" s="1"/>
      <c r="P316" s="1"/>
      <c r="Q316" s="1"/>
      <c r="R316" s="425"/>
    </row>
    <row r="317" spans="3:18" s="34" customFormat="1" ht="13.25" customHeight="1">
      <c r="C317" s="1"/>
      <c r="D317" s="1"/>
      <c r="E317" s="1"/>
      <c r="F317" s="1"/>
      <c r="G317" s="193"/>
      <c r="H317" s="238"/>
      <c r="I317" s="1"/>
      <c r="J317" s="1"/>
      <c r="K317" s="1"/>
      <c r="L317" s="1"/>
      <c r="M317" s="1"/>
      <c r="N317" s="1"/>
      <c r="O317" s="1"/>
      <c r="P317" s="1"/>
      <c r="Q317" s="1"/>
      <c r="R317" s="425"/>
    </row>
    <row r="318" spans="3:18" s="34" customFormat="1" ht="13.25" customHeight="1">
      <c r="C318" s="1"/>
      <c r="D318" s="1"/>
      <c r="E318" s="1"/>
      <c r="F318" s="1"/>
      <c r="G318" s="193"/>
      <c r="H318" s="238"/>
      <c r="I318" s="1"/>
      <c r="J318" s="1"/>
      <c r="K318" s="1"/>
      <c r="L318" s="1"/>
      <c r="M318" s="1"/>
      <c r="N318" s="1"/>
      <c r="O318" s="1"/>
      <c r="P318" s="1"/>
      <c r="Q318" s="1"/>
      <c r="R318" s="425"/>
    </row>
    <row r="319" spans="3:18" s="34" customFormat="1" ht="13.25" customHeight="1">
      <c r="C319" s="1"/>
      <c r="D319" s="1"/>
      <c r="E319" s="1"/>
      <c r="F319" s="1"/>
      <c r="G319" s="193"/>
      <c r="H319" s="238"/>
      <c r="I319" s="1"/>
      <c r="J319" s="1"/>
      <c r="K319" s="1"/>
      <c r="L319" s="1"/>
      <c r="M319" s="1"/>
      <c r="N319" s="1"/>
      <c r="O319" s="1"/>
      <c r="P319" s="1"/>
      <c r="Q319" s="1"/>
      <c r="R319" s="425"/>
    </row>
    <row r="320" spans="3:18" s="34" customFormat="1" ht="13.25" customHeight="1">
      <c r="C320" s="1"/>
      <c r="D320" s="1"/>
      <c r="E320" s="1"/>
      <c r="F320" s="1"/>
      <c r="G320" s="193"/>
      <c r="H320" s="238"/>
      <c r="I320" s="1"/>
      <c r="J320" s="1"/>
      <c r="K320" s="1"/>
      <c r="L320" s="1"/>
      <c r="M320" s="1"/>
      <c r="N320" s="1"/>
      <c r="O320" s="1"/>
      <c r="P320" s="1"/>
      <c r="Q320" s="1"/>
      <c r="R320" s="425"/>
    </row>
    <row r="321" spans="3:18" s="34" customFormat="1" ht="13.25" customHeight="1">
      <c r="C321" s="1"/>
      <c r="D321" s="1"/>
      <c r="E321" s="1"/>
      <c r="F321" s="1"/>
      <c r="G321" s="193"/>
      <c r="H321" s="238"/>
      <c r="I321" s="1"/>
      <c r="J321" s="1"/>
      <c r="K321" s="1"/>
      <c r="L321" s="1"/>
      <c r="M321" s="1"/>
      <c r="N321" s="1"/>
      <c r="O321" s="1"/>
      <c r="P321" s="1"/>
      <c r="Q321" s="1"/>
      <c r="R321" s="425"/>
    </row>
    <row r="322" spans="3:18" s="34" customFormat="1" ht="13.25" customHeight="1">
      <c r="C322" s="1"/>
      <c r="D322" s="1"/>
      <c r="E322" s="1"/>
      <c r="F322" s="1"/>
      <c r="G322" s="193"/>
      <c r="H322" s="238"/>
      <c r="I322" s="1"/>
      <c r="J322" s="1"/>
      <c r="K322" s="1"/>
      <c r="L322" s="1"/>
      <c r="M322" s="1"/>
      <c r="N322" s="1"/>
      <c r="O322" s="1"/>
      <c r="P322" s="1"/>
      <c r="Q322" s="1"/>
      <c r="R322" s="425"/>
    </row>
    <row r="323" spans="3:18" s="34" customFormat="1" ht="13.25" customHeight="1">
      <c r="C323" s="1"/>
      <c r="D323" s="1"/>
      <c r="E323" s="1"/>
      <c r="F323" s="1"/>
      <c r="G323" s="193"/>
      <c r="H323" s="238"/>
      <c r="I323" s="1"/>
      <c r="J323" s="1"/>
      <c r="K323" s="1"/>
      <c r="L323" s="1"/>
      <c r="M323" s="1"/>
      <c r="N323" s="1"/>
      <c r="O323" s="1"/>
      <c r="P323" s="1"/>
      <c r="Q323" s="1"/>
      <c r="R323" s="425"/>
    </row>
    <row r="324" spans="3:18" s="34" customFormat="1" ht="13.25" customHeight="1">
      <c r="C324" s="1"/>
      <c r="D324" s="1"/>
      <c r="E324" s="1"/>
      <c r="F324" s="1"/>
      <c r="G324" s="193"/>
      <c r="H324" s="238"/>
      <c r="I324" s="1"/>
      <c r="J324" s="1"/>
      <c r="K324" s="1"/>
      <c r="L324" s="1"/>
      <c r="M324" s="1"/>
      <c r="N324" s="1"/>
      <c r="O324" s="1"/>
      <c r="P324" s="1"/>
      <c r="Q324" s="1"/>
      <c r="R324" s="418"/>
    </row>
    <row r="325" spans="3:18" s="34" customFormat="1" ht="13.25" customHeight="1">
      <c r="C325" s="1"/>
      <c r="D325" s="1"/>
      <c r="E325" s="1"/>
      <c r="F325" s="1"/>
      <c r="G325" s="193"/>
      <c r="H325" s="238"/>
      <c r="I325" s="1"/>
      <c r="J325" s="1"/>
      <c r="K325" s="1"/>
      <c r="L325" s="1"/>
      <c r="M325" s="1"/>
      <c r="N325" s="1"/>
      <c r="O325" s="1"/>
      <c r="P325" s="1"/>
      <c r="Q325" s="1"/>
      <c r="R325" s="418"/>
    </row>
    <row r="326" spans="3:18" s="34" customFormat="1" ht="13.25" customHeight="1">
      <c r="C326" s="1"/>
      <c r="D326" s="1"/>
      <c r="E326" s="1"/>
      <c r="F326" s="1"/>
      <c r="G326" s="193"/>
      <c r="H326" s="238"/>
      <c r="I326" s="1"/>
      <c r="J326" s="1"/>
      <c r="K326" s="1"/>
      <c r="L326" s="1"/>
      <c r="M326" s="1"/>
      <c r="N326" s="1"/>
      <c r="O326" s="1"/>
      <c r="P326" s="1"/>
      <c r="Q326" s="1"/>
      <c r="R326" s="418"/>
    </row>
    <row r="327" spans="3:18" s="34" customFormat="1" ht="13.25" customHeight="1">
      <c r="C327" s="1"/>
      <c r="D327" s="1"/>
      <c r="E327" s="1"/>
      <c r="F327" s="1"/>
      <c r="G327" s="193"/>
      <c r="H327" s="238"/>
      <c r="I327" s="1"/>
      <c r="J327" s="1"/>
      <c r="K327" s="1"/>
      <c r="L327" s="1"/>
      <c r="M327" s="1"/>
      <c r="N327" s="1"/>
      <c r="O327" s="1"/>
      <c r="P327" s="1"/>
      <c r="Q327" s="1"/>
      <c r="R327" s="418"/>
    </row>
    <row r="328" spans="3:18" s="34" customFormat="1" ht="13.25" customHeight="1">
      <c r="C328" s="1"/>
      <c r="D328" s="1"/>
      <c r="E328" s="1"/>
      <c r="F328" s="1"/>
      <c r="G328" s="193"/>
      <c r="H328" s="238"/>
      <c r="I328" s="1"/>
      <c r="J328" s="1"/>
      <c r="K328" s="1"/>
      <c r="L328" s="1"/>
      <c r="M328" s="1"/>
      <c r="N328" s="1"/>
      <c r="O328" s="1"/>
      <c r="P328" s="1"/>
      <c r="Q328" s="1"/>
      <c r="R328" s="418"/>
    </row>
    <row r="329" spans="3:18" s="34" customFormat="1" ht="13.25" customHeight="1">
      <c r="C329" s="1"/>
      <c r="D329" s="1"/>
      <c r="E329" s="1"/>
      <c r="F329" s="1"/>
      <c r="G329" s="193"/>
      <c r="H329" s="238"/>
      <c r="I329" s="1"/>
      <c r="J329" s="1"/>
      <c r="K329" s="1"/>
      <c r="L329" s="1"/>
      <c r="M329" s="1"/>
      <c r="N329" s="1"/>
      <c r="O329" s="1"/>
      <c r="P329" s="1"/>
      <c r="Q329" s="1"/>
      <c r="R329" s="418"/>
    </row>
    <row r="330" spans="3:18" s="34" customFormat="1" ht="13.25" customHeight="1">
      <c r="C330" s="1"/>
      <c r="D330" s="1"/>
      <c r="E330" s="1"/>
      <c r="F330" s="1"/>
      <c r="G330" s="193"/>
      <c r="H330" s="238"/>
      <c r="I330" s="1"/>
      <c r="J330" s="1"/>
      <c r="K330" s="1"/>
      <c r="L330" s="1"/>
      <c r="M330" s="1"/>
      <c r="N330" s="1"/>
      <c r="O330" s="1"/>
      <c r="P330" s="1"/>
      <c r="Q330" s="1"/>
      <c r="R330" s="418"/>
    </row>
    <row r="331" spans="3:18" s="34" customFormat="1" ht="13.25" customHeight="1">
      <c r="C331" s="1"/>
      <c r="D331" s="1"/>
      <c r="E331" s="1"/>
      <c r="F331" s="1"/>
      <c r="G331" s="193"/>
      <c r="H331" s="238"/>
      <c r="I331" s="1"/>
      <c r="J331" s="1"/>
      <c r="K331" s="1"/>
      <c r="L331" s="1"/>
      <c r="M331" s="1"/>
      <c r="N331" s="1"/>
      <c r="O331" s="1"/>
      <c r="P331" s="1"/>
      <c r="Q331" s="1"/>
      <c r="R331" s="418"/>
    </row>
    <row r="332" spans="3:18" s="34" customFormat="1" ht="13.25" customHeight="1">
      <c r="C332" s="1"/>
      <c r="D332" s="1"/>
      <c r="E332" s="1"/>
      <c r="F332" s="1"/>
      <c r="G332" s="193"/>
      <c r="H332" s="238"/>
      <c r="I332" s="1"/>
      <c r="J332" s="1"/>
      <c r="K332" s="1"/>
      <c r="L332" s="1"/>
      <c r="M332" s="1"/>
      <c r="N332" s="1"/>
      <c r="O332" s="1"/>
      <c r="P332" s="1"/>
      <c r="Q332" s="1"/>
      <c r="R332" s="418"/>
    </row>
    <row r="333" spans="3:18" s="34" customFormat="1" ht="12" customHeight="1">
      <c r="C333" s="1"/>
      <c r="D333" s="1"/>
      <c r="E333" s="1"/>
      <c r="F333" s="1"/>
      <c r="G333" s="193"/>
      <c r="H333" s="238"/>
      <c r="I333" s="1"/>
      <c r="J333" s="1"/>
      <c r="K333" s="1"/>
      <c r="L333" s="1"/>
      <c r="M333" s="1"/>
      <c r="N333" s="1"/>
      <c r="O333" s="1"/>
      <c r="P333" s="1"/>
      <c r="Q333" s="1"/>
      <c r="R333" s="418"/>
    </row>
    <row r="334" spans="3:18" s="34" customFormat="1" ht="12" customHeight="1">
      <c r="C334" s="1"/>
      <c r="D334" s="1"/>
      <c r="E334" s="1"/>
      <c r="F334" s="1"/>
      <c r="G334" s="193"/>
      <c r="H334" s="238"/>
      <c r="I334" s="1"/>
      <c r="J334" s="1"/>
      <c r="K334" s="1"/>
      <c r="L334" s="1"/>
      <c r="M334" s="1"/>
      <c r="N334" s="1"/>
      <c r="O334" s="1"/>
      <c r="P334" s="1"/>
      <c r="Q334" s="1"/>
      <c r="R334" s="418"/>
    </row>
    <row r="371" spans="3:18">
      <c r="R371" s="426"/>
    </row>
    <row r="382" spans="3:18" s="46" customFormat="1">
      <c r="C382" s="1"/>
      <c r="D382" s="1"/>
      <c r="E382" s="1"/>
      <c r="F382" s="1"/>
      <c r="G382" s="193"/>
      <c r="H382" s="238"/>
      <c r="I382" s="1"/>
      <c r="J382" s="1"/>
      <c r="K382" s="1"/>
      <c r="L382" s="1"/>
      <c r="M382" s="1"/>
      <c r="N382" s="1"/>
      <c r="O382" s="1"/>
      <c r="P382" s="1"/>
      <c r="Q382" s="1"/>
      <c r="R382" s="418"/>
    </row>
  </sheetData>
  <mergeCells count="6">
    <mergeCell ref="O189:P189"/>
    <mergeCell ref="D61:F61"/>
    <mergeCell ref="G87:H87"/>
    <mergeCell ref="D74:F74"/>
    <mergeCell ref="J1:N1"/>
    <mergeCell ref="J58:O58"/>
  </mergeCells>
  <printOptions horizontalCentered="1"/>
  <pageMargins left="0.19685039370078741" right="0.19685039370078741" top="0.19685039370078741" bottom="0.19685039370078741" header="0.19685039370078741" footer="0.19685039370078741"/>
  <pageSetup paperSize="14" scale="16" orientation="landscape" horizontalDpi="4294967293" verticalDpi="4294967293" r:id="rId1"/>
  <headerFooter alignWithMargins="0"/>
  <ignoredErrors>
    <ignoredError sqref="P6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BP Abdo Argentina DÓLARES</vt:lpstr>
    </vt:vector>
  </TitlesOfParts>
  <Company>Particular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Abdo Latif Nasser Chamseddine</cp:lastModifiedBy>
  <cp:lastPrinted>2025-10-14T16:41:13Z</cp:lastPrinted>
  <dcterms:created xsi:type="dcterms:W3CDTF">2002-04-11T19:42:24Z</dcterms:created>
  <dcterms:modified xsi:type="dcterms:W3CDTF">2026-03-26T23:32:10Z</dcterms:modified>
</cp:coreProperties>
</file>